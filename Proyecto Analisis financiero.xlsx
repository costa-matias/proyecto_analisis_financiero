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Github\proyecto_analisis_financiero\"/>
    </mc:Choice>
  </mc:AlternateContent>
  <xr:revisionPtr revIDLastSave="0" documentId="13_ncr:1_{A1D50251-6ACC-4E7B-9F76-F444D749CF4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Notas" sheetId="7" r:id="rId1"/>
    <sheet name="EEFF" sheetId="9" r:id="rId2"/>
    <sheet name="Ratios" sheetId="10" r:id="rId3"/>
    <sheet name="Hoja auxiliar tablas" sheetId="12" r:id="rId4"/>
    <sheet name="Hoja auxiliar TD" sheetId="13" r:id="rId5"/>
    <sheet name="dashboard estados" sheetId="14" r:id="rId6"/>
    <sheet name="dashboard ratios" sheetId="15" r:id="rId7"/>
  </sheets>
  <definedNames>
    <definedName name="SegmentaciónDeDatos_Año">#N/A</definedName>
    <definedName name="SegmentaciónDeDatos_Año1">#N/A</definedName>
    <definedName name="SegmentaciónDeDatos_Año2">#N/A</definedName>
    <definedName name="SegmentaciónDeDatos_Tipo">#N/A</definedName>
    <definedName name="SegmentaciónDeDatos_Tipo1">#N/A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fileRecoveryPr autoRecover="0"/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2" l="1"/>
  <c r="L6" i="12"/>
  <c r="L3" i="12"/>
  <c r="L4" i="12"/>
  <c r="H25" i="12"/>
  <c r="H26" i="12"/>
  <c r="H23" i="12"/>
  <c r="H24" i="12"/>
  <c r="H19" i="12"/>
  <c r="H20" i="12"/>
  <c r="H21" i="12"/>
  <c r="H22" i="12"/>
  <c r="H17" i="12"/>
  <c r="H18" i="12"/>
  <c r="H15" i="12"/>
  <c r="H16" i="12"/>
  <c r="H14" i="12"/>
  <c r="H11" i="12"/>
  <c r="H12" i="12"/>
  <c r="H13" i="12"/>
  <c r="H9" i="12"/>
  <c r="H10" i="12"/>
  <c r="H7" i="12"/>
  <c r="H8" i="12"/>
  <c r="H6" i="12"/>
  <c r="H5" i="12"/>
  <c r="H4" i="12"/>
  <c r="H3" i="12"/>
  <c r="H23" i="10"/>
  <c r="G23" i="10"/>
  <c r="H22" i="10"/>
  <c r="G22" i="10"/>
  <c r="G19" i="10" l="1"/>
  <c r="H19" i="10"/>
  <c r="F19" i="10"/>
  <c r="G18" i="10"/>
  <c r="H18" i="10"/>
  <c r="F18" i="10"/>
  <c r="G15" i="10"/>
  <c r="H15" i="10"/>
  <c r="F15" i="10"/>
  <c r="G14" i="10"/>
  <c r="H14" i="10"/>
  <c r="F14" i="10"/>
  <c r="G10" i="10"/>
  <c r="H10" i="10"/>
  <c r="F10" i="10"/>
  <c r="G9" i="10"/>
  <c r="H9" i="10"/>
  <c r="F9" i="10" l="1"/>
  <c r="G8" i="10"/>
  <c r="H8" i="10"/>
  <c r="F8" i="10"/>
  <c r="G7" i="10"/>
  <c r="H7" i="10"/>
  <c r="F7" i="10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28" i="9"/>
  <c r="S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2" i="9"/>
  <c r="O53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2" i="9"/>
  <c r="N53" i="9"/>
  <c r="N28" i="9"/>
  <c r="S8" i="9"/>
  <c r="T8" i="9"/>
  <c r="S9" i="9"/>
  <c r="T9" i="9"/>
  <c r="S10" i="9"/>
  <c r="T10" i="9"/>
  <c r="S11" i="9"/>
  <c r="T11" i="9"/>
  <c r="S12" i="9"/>
  <c r="T12" i="9"/>
  <c r="S13" i="9"/>
  <c r="T13" i="9"/>
  <c r="S14" i="9"/>
  <c r="T14" i="9"/>
  <c r="S15" i="9"/>
  <c r="T15" i="9"/>
  <c r="S16" i="9"/>
  <c r="T16" i="9"/>
  <c r="S17" i="9"/>
  <c r="T17" i="9"/>
  <c r="S18" i="9"/>
  <c r="T18" i="9"/>
  <c r="S19" i="9"/>
  <c r="T19" i="9"/>
  <c r="S20" i="9"/>
  <c r="T20" i="9"/>
  <c r="S21" i="9"/>
  <c r="T21" i="9"/>
  <c r="S22" i="9"/>
  <c r="T22" i="9"/>
  <c r="S24" i="9"/>
  <c r="T24" i="9"/>
  <c r="S25" i="9"/>
  <c r="T25" i="9"/>
  <c r="T7" i="9"/>
  <c r="O8" i="9" l="1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4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4" i="9"/>
  <c r="N8" i="9"/>
  <c r="D51" i="9" l="1"/>
  <c r="E51" i="9"/>
  <c r="C51" i="9"/>
  <c r="D49" i="9"/>
  <c r="E49" i="9"/>
  <c r="C49" i="9"/>
  <c r="D47" i="9"/>
  <c r="E47" i="9"/>
  <c r="C47" i="9"/>
  <c r="D46" i="9"/>
  <c r="E46" i="9"/>
  <c r="C46" i="9"/>
  <c r="E48" i="9" l="1"/>
  <c r="E87" i="9"/>
  <c r="D88" i="9"/>
  <c r="D62" i="9"/>
  <c r="C63" i="9"/>
  <c r="D48" i="9"/>
  <c r="C62" i="9"/>
  <c r="E90" i="9"/>
  <c r="E63" i="9"/>
  <c r="C48" i="9"/>
  <c r="D87" i="9"/>
  <c r="E88" i="9"/>
  <c r="E62" i="9"/>
  <c r="D90" i="9"/>
  <c r="D63" i="9"/>
  <c r="D44" i="9"/>
  <c r="E44" i="9"/>
  <c r="C44" i="9"/>
  <c r="D43" i="9"/>
  <c r="E43" i="9"/>
  <c r="C43" i="9"/>
  <c r="D42" i="9"/>
  <c r="E42" i="9"/>
  <c r="C42" i="9"/>
  <c r="D41" i="9"/>
  <c r="E41" i="9"/>
  <c r="C41" i="9"/>
  <c r="D25" i="9"/>
  <c r="E25" i="9"/>
  <c r="C25" i="9"/>
  <c r="D85" i="9" l="1"/>
  <c r="C59" i="9"/>
  <c r="E77" i="9"/>
  <c r="E85" i="9"/>
  <c r="D86" i="9"/>
  <c r="D77" i="9"/>
  <c r="D59" i="9"/>
  <c r="D71" i="9"/>
  <c r="C45" i="9"/>
  <c r="E59" i="9"/>
  <c r="J25" i="9"/>
  <c r="E71" i="9"/>
  <c r="E45" i="9"/>
  <c r="E84" i="9"/>
  <c r="E86" i="9"/>
  <c r="E78" i="9"/>
  <c r="D78" i="9"/>
  <c r="D45" i="9"/>
  <c r="D84" i="9"/>
  <c r="D28" i="9"/>
  <c r="E28" i="9"/>
  <c r="C28" i="9"/>
  <c r="D39" i="9"/>
  <c r="E39" i="9"/>
  <c r="C39" i="9"/>
  <c r="D38" i="9"/>
  <c r="E38" i="9"/>
  <c r="C38" i="9"/>
  <c r="D37" i="9"/>
  <c r="E37" i="9"/>
  <c r="C37" i="9"/>
  <c r="D36" i="9"/>
  <c r="E36" i="9"/>
  <c r="C36" i="9"/>
  <c r="D35" i="9"/>
  <c r="E35" i="9"/>
  <c r="D34" i="9"/>
  <c r="E34" i="9"/>
  <c r="C35" i="9"/>
  <c r="C34" i="9"/>
  <c r="D33" i="9"/>
  <c r="E33" i="9"/>
  <c r="C33" i="9"/>
  <c r="D31" i="9"/>
  <c r="E31" i="9"/>
  <c r="C31" i="9"/>
  <c r="D30" i="9"/>
  <c r="E30" i="9"/>
  <c r="C30" i="9"/>
  <c r="D29" i="9"/>
  <c r="E29" i="9"/>
  <c r="C29" i="9"/>
  <c r="G47" i="7"/>
  <c r="C16" i="9"/>
  <c r="H16" i="9" s="1"/>
  <c r="C18" i="9"/>
  <c r="H18" i="9" s="1"/>
  <c r="D18" i="9"/>
  <c r="E18" i="9"/>
  <c r="D17" i="9"/>
  <c r="E17" i="9"/>
  <c r="J17" i="9" s="1"/>
  <c r="C17" i="9"/>
  <c r="H17" i="9" s="1"/>
  <c r="D16" i="9"/>
  <c r="E16" i="9"/>
  <c r="J16" i="9" s="1"/>
  <c r="D11" i="9"/>
  <c r="E11" i="9"/>
  <c r="J11" i="9" s="1"/>
  <c r="D12" i="9"/>
  <c r="E12" i="9"/>
  <c r="J12" i="9" s="1"/>
  <c r="D13" i="9"/>
  <c r="E13" i="9"/>
  <c r="D14" i="9"/>
  <c r="E14" i="9"/>
  <c r="C14" i="9"/>
  <c r="H14" i="9" s="1"/>
  <c r="C13" i="9"/>
  <c r="H13" i="9" s="1"/>
  <c r="C12" i="9"/>
  <c r="H12" i="9" s="1"/>
  <c r="C11" i="9"/>
  <c r="H11" i="9" s="1"/>
  <c r="C8" i="9"/>
  <c r="H8" i="9" s="1"/>
  <c r="D8" i="9"/>
  <c r="E8" i="9"/>
  <c r="J8" i="9" s="1"/>
  <c r="D7" i="9"/>
  <c r="E7" i="9"/>
  <c r="C7" i="9"/>
  <c r="H25" i="9" s="1"/>
  <c r="I12" i="9" l="1"/>
  <c r="D9" i="9"/>
  <c r="I9" i="9" s="1"/>
  <c r="N7" i="9"/>
  <c r="I7" i="9"/>
  <c r="I23" i="9"/>
  <c r="I45" i="9"/>
  <c r="D80" i="9"/>
  <c r="J37" i="9"/>
  <c r="E80" i="9"/>
  <c r="D32" i="9"/>
  <c r="E74" i="9"/>
  <c r="D82" i="9"/>
  <c r="J39" i="9"/>
  <c r="I8" i="9"/>
  <c r="I11" i="9"/>
  <c r="I16" i="9"/>
  <c r="C10" i="9"/>
  <c r="H10" i="9" s="1"/>
  <c r="E75" i="9"/>
  <c r="I35" i="9"/>
  <c r="I39" i="9"/>
  <c r="E82" i="9"/>
  <c r="J45" i="9"/>
  <c r="C32" i="9"/>
  <c r="H39" i="9" s="1"/>
  <c r="D74" i="9"/>
  <c r="D75" i="9"/>
  <c r="J14" i="9"/>
  <c r="E73" i="9"/>
  <c r="I17" i="9"/>
  <c r="D76" i="9"/>
  <c r="D81" i="9"/>
  <c r="D92" i="9"/>
  <c r="I25" i="9"/>
  <c r="E32" i="9"/>
  <c r="J28" i="9" s="1"/>
  <c r="J29" i="9"/>
  <c r="I34" i="9"/>
  <c r="C9" i="9"/>
  <c r="H7" i="9"/>
  <c r="H23" i="9"/>
  <c r="J18" i="9"/>
  <c r="J31" i="9"/>
  <c r="I13" i="9"/>
  <c r="D72" i="9"/>
  <c r="I14" i="9"/>
  <c r="D73" i="9"/>
  <c r="E9" i="9"/>
  <c r="J9" i="9" s="1"/>
  <c r="O7" i="9"/>
  <c r="J7" i="9"/>
  <c r="J23" i="9"/>
  <c r="J13" i="9"/>
  <c r="E72" i="9"/>
  <c r="I18" i="9"/>
  <c r="E76" i="9"/>
  <c r="I36" i="9"/>
  <c r="E81" i="9"/>
  <c r="I28" i="9"/>
  <c r="E92" i="9"/>
  <c r="C40" i="9"/>
  <c r="H40" i="9" s="1"/>
  <c r="D10" i="9"/>
  <c r="E10" i="9"/>
  <c r="E40" i="9"/>
  <c r="D40" i="9"/>
  <c r="I40" i="9" s="1"/>
  <c r="H115" i="7"/>
  <c r="I115" i="7"/>
  <c r="J115" i="7"/>
  <c r="H38" i="9" l="1"/>
  <c r="H36" i="9"/>
  <c r="I29" i="9"/>
  <c r="H32" i="9"/>
  <c r="H49" i="9"/>
  <c r="H47" i="9"/>
  <c r="H46" i="9"/>
  <c r="H51" i="9"/>
  <c r="H42" i="9"/>
  <c r="H44" i="9"/>
  <c r="H43" i="9"/>
  <c r="H48" i="9"/>
  <c r="H41" i="9"/>
  <c r="H31" i="9"/>
  <c r="I32" i="9"/>
  <c r="I51" i="9"/>
  <c r="I47" i="9"/>
  <c r="I46" i="9"/>
  <c r="I49" i="9"/>
  <c r="I41" i="9"/>
  <c r="I43" i="9"/>
  <c r="I48" i="9"/>
  <c r="I42" i="9"/>
  <c r="I44" i="9"/>
  <c r="H34" i="9"/>
  <c r="J34" i="9"/>
  <c r="I31" i="9"/>
  <c r="J38" i="9"/>
  <c r="J33" i="9"/>
  <c r="H33" i="9"/>
  <c r="C15" i="9"/>
  <c r="H9" i="9"/>
  <c r="J40" i="9"/>
  <c r="H30" i="9"/>
  <c r="I38" i="9"/>
  <c r="H37" i="9"/>
  <c r="H29" i="9"/>
  <c r="H45" i="9"/>
  <c r="J32" i="9"/>
  <c r="J46" i="9"/>
  <c r="J49" i="9"/>
  <c r="J47" i="9"/>
  <c r="J51" i="9"/>
  <c r="J42" i="9"/>
  <c r="J43" i="9"/>
  <c r="J44" i="9"/>
  <c r="J48" i="9"/>
  <c r="J41" i="9"/>
  <c r="J35" i="9"/>
  <c r="I37" i="9"/>
  <c r="I30" i="9"/>
  <c r="E15" i="9"/>
  <c r="J15" i="9" s="1"/>
  <c r="J10" i="9"/>
  <c r="J30" i="9"/>
  <c r="D15" i="9"/>
  <c r="I15" i="9" s="1"/>
  <c r="I10" i="9"/>
  <c r="J36" i="9"/>
  <c r="H28" i="9"/>
  <c r="H35" i="9"/>
  <c r="I33" i="9"/>
  <c r="R72" i="9"/>
  <c r="S72" i="9"/>
  <c r="T72" i="9"/>
  <c r="Q72" i="9"/>
  <c r="D19" i="9" l="1"/>
  <c r="I19" i="9" s="1"/>
  <c r="E19" i="9"/>
  <c r="J19" i="9" s="1"/>
  <c r="H15" i="9"/>
  <c r="C19" i="9"/>
  <c r="C24" i="9"/>
  <c r="H24" i="9" s="1"/>
  <c r="D24" i="9"/>
  <c r="I24" i="9" s="1"/>
  <c r="E24" i="9"/>
  <c r="J24" i="9" s="1"/>
  <c r="D20" i="9"/>
  <c r="D21" i="9"/>
  <c r="E20" i="9"/>
  <c r="D74" i="7"/>
  <c r="D22" i="9" l="1"/>
  <c r="D130" i="7" s="1"/>
  <c r="I20" i="9"/>
  <c r="J20" i="9"/>
  <c r="H19" i="9"/>
  <c r="C20" i="9"/>
  <c r="C21" i="9"/>
  <c r="E21" i="9"/>
  <c r="J21" i="9" s="1"/>
  <c r="I21" i="9"/>
  <c r="D58" i="9"/>
  <c r="D60" i="9" s="1"/>
  <c r="E91" i="7"/>
  <c r="E90" i="7"/>
  <c r="D90" i="7"/>
  <c r="D89" i="7"/>
  <c r="E89" i="7"/>
  <c r="C89" i="7"/>
  <c r="E74" i="7"/>
  <c r="E75" i="7"/>
  <c r="D73" i="7"/>
  <c r="E73" i="7"/>
  <c r="C73" i="7"/>
  <c r="C76" i="7" s="1"/>
  <c r="C22" i="7" s="1"/>
  <c r="C50" i="9" l="1"/>
  <c r="H21" i="9"/>
  <c r="C22" i="9"/>
  <c r="H20" i="9"/>
  <c r="E22" i="9"/>
  <c r="I22" i="9"/>
  <c r="D70" i="9"/>
  <c r="D79" i="9" s="1"/>
  <c r="D83" i="9" s="1"/>
  <c r="E76" i="7"/>
  <c r="D76" i="7"/>
  <c r="D111" i="7"/>
  <c r="I111" i="7" s="1"/>
  <c r="E111" i="7"/>
  <c r="J111" i="7" s="1"/>
  <c r="D112" i="7"/>
  <c r="I112" i="7" s="1"/>
  <c r="E112" i="7"/>
  <c r="J112" i="7" s="1"/>
  <c r="D113" i="7"/>
  <c r="I113" i="7" s="1"/>
  <c r="E113" i="7"/>
  <c r="J113" i="7" s="1"/>
  <c r="D114" i="7"/>
  <c r="I114" i="7" s="1"/>
  <c r="E114" i="7"/>
  <c r="J114" i="7" s="1"/>
  <c r="C112" i="7"/>
  <c r="H112" i="7" s="1"/>
  <c r="C111" i="7"/>
  <c r="H111" i="7" s="1"/>
  <c r="C114" i="7"/>
  <c r="H114" i="7" s="1"/>
  <c r="C113" i="7"/>
  <c r="H113" i="7" s="1"/>
  <c r="H22" i="9" l="1"/>
  <c r="C58" i="9"/>
  <c r="C60" i="9" s="1"/>
  <c r="C130" i="7"/>
  <c r="C52" i="9"/>
  <c r="H52" i="9" s="1"/>
  <c r="D52" i="9"/>
  <c r="H50" i="9"/>
  <c r="C61" i="9"/>
  <c r="C53" i="9"/>
  <c r="H53" i="9" s="1"/>
  <c r="D50" i="9"/>
  <c r="E58" i="9"/>
  <c r="E60" i="9" s="1"/>
  <c r="J22" i="9"/>
  <c r="E70" i="9"/>
  <c r="E79" i="9" s="1"/>
  <c r="E83" i="9" s="1"/>
  <c r="E60" i="7"/>
  <c r="D60" i="7"/>
  <c r="C60" i="7"/>
  <c r="E49" i="7"/>
  <c r="D49" i="7"/>
  <c r="C49" i="7"/>
  <c r="D43" i="7"/>
  <c r="E43" i="7"/>
  <c r="C43" i="7"/>
  <c r="C16" i="7"/>
  <c r="D16" i="7"/>
  <c r="E16" i="7"/>
  <c r="E104" i="7"/>
  <c r="E106" i="7" s="1"/>
  <c r="D104" i="7"/>
  <c r="D106" i="7" s="1"/>
  <c r="C104" i="7"/>
  <c r="C106" i="7" s="1"/>
  <c r="E96" i="7"/>
  <c r="D95" i="7"/>
  <c r="C92" i="7"/>
  <c r="E88" i="7"/>
  <c r="D88" i="7"/>
  <c r="C88" i="7"/>
  <c r="E80" i="7"/>
  <c r="D79" i="7"/>
  <c r="E79" i="7" s="1"/>
  <c r="C78" i="7"/>
  <c r="E72" i="7"/>
  <c r="D72" i="7"/>
  <c r="C72" i="7"/>
  <c r="I50" i="9" l="1"/>
  <c r="D89" i="9"/>
  <c r="D91" i="9" s="1"/>
  <c r="D93" i="9" s="1"/>
  <c r="D61" i="9"/>
  <c r="E50" i="9"/>
  <c r="D53" i="9"/>
  <c r="I53" i="9" s="1"/>
  <c r="E52" i="9"/>
  <c r="J52" i="9" s="1"/>
  <c r="I52" i="9"/>
  <c r="C65" i="9"/>
  <c r="D64" i="9" s="1"/>
  <c r="J54" i="7"/>
  <c r="H54" i="7"/>
  <c r="I54" i="7"/>
  <c r="D22" i="7"/>
  <c r="E95" i="7"/>
  <c r="C51" i="7"/>
  <c r="H51" i="7" s="1"/>
  <c r="C52" i="7"/>
  <c r="H52" i="7" s="1"/>
  <c r="C50" i="7"/>
  <c r="H50" i="7" s="1"/>
  <c r="C53" i="7"/>
  <c r="H53" i="7" s="1"/>
  <c r="E50" i="7"/>
  <c r="J50" i="7" s="1"/>
  <c r="E51" i="7"/>
  <c r="J51" i="7" s="1"/>
  <c r="E52" i="7"/>
  <c r="J52" i="7" s="1"/>
  <c r="E53" i="7"/>
  <c r="J53" i="7" s="1"/>
  <c r="E92" i="7"/>
  <c r="E23" i="7" s="1"/>
  <c r="D50" i="7"/>
  <c r="I50" i="7" s="1"/>
  <c r="D51" i="7"/>
  <c r="I51" i="7" s="1"/>
  <c r="D52" i="7"/>
  <c r="I52" i="7" s="1"/>
  <c r="D53" i="7"/>
  <c r="I53" i="7" s="1"/>
  <c r="D92" i="7"/>
  <c r="D23" i="7" s="1"/>
  <c r="C94" i="7"/>
  <c r="C97" i="7" s="1"/>
  <c r="E22" i="7"/>
  <c r="D78" i="7"/>
  <c r="E78" i="7" s="1"/>
  <c r="E81" i="7" s="1"/>
  <c r="C81" i="7"/>
  <c r="C23" i="7"/>
  <c r="J50" i="9" l="1"/>
  <c r="E89" i="9"/>
  <c r="E91" i="9" s="1"/>
  <c r="E93" i="9" s="1"/>
  <c r="E61" i="9"/>
  <c r="E53" i="9"/>
  <c r="J53" i="9" s="1"/>
  <c r="D65" i="9"/>
  <c r="E64" i="9" s="1"/>
  <c r="D94" i="7"/>
  <c r="E94" i="7" s="1"/>
  <c r="E97" i="7" s="1"/>
  <c r="D81" i="7"/>
  <c r="E24" i="7"/>
  <c r="D24" i="7"/>
  <c r="C24" i="7"/>
  <c r="C93" i="7"/>
  <c r="C77" i="7"/>
  <c r="D97" i="7" l="1"/>
  <c r="D77" i="7"/>
  <c r="D93" i="7"/>
  <c r="E77" i="7" l="1"/>
  <c r="E93" i="7"/>
  <c r="E130" i="7" l="1"/>
  <c r="C67" i="9" l="1"/>
  <c r="C55" i="9"/>
  <c r="D67" i="9" l="1"/>
  <c r="D55" i="9"/>
  <c r="E55" i="9" l="1"/>
  <c r="E65" i="9"/>
  <c r="E67" i="9" s="1"/>
</calcChain>
</file>

<file path=xl/sharedStrings.xml><?xml version="1.0" encoding="utf-8"?>
<sst xmlns="http://schemas.openxmlformats.org/spreadsheetml/2006/main" count="653" uniqueCount="235">
  <si>
    <t>Ingresos</t>
  </si>
  <si>
    <t>Gastos operativos</t>
  </si>
  <si>
    <t>Gastos de venta</t>
  </si>
  <si>
    <t>Ingresos no operativos</t>
  </si>
  <si>
    <t>Gastos no operativos</t>
  </si>
  <si>
    <t xml:space="preserve">Año 1 </t>
  </si>
  <si>
    <t>Año 2</t>
  </si>
  <si>
    <t>Año 3</t>
  </si>
  <si>
    <t>Cuentas por cobrar</t>
  </si>
  <si>
    <t>Inventario</t>
  </si>
  <si>
    <t>Otros activos no circulantes</t>
  </si>
  <si>
    <t>Otros activos circulantes</t>
  </si>
  <si>
    <t>Proveedores</t>
  </si>
  <si>
    <t>Otros pasivos circulantes</t>
  </si>
  <si>
    <t>Otros pasivos no circulantes</t>
  </si>
  <si>
    <t>Capital social</t>
  </si>
  <si>
    <t>Dividendos</t>
  </si>
  <si>
    <t>Efectivo y equivalentes</t>
  </si>
  <si>
    <t>Activo 1</t>
  </si>
  <si>
    <t>Activo 2</t>
  </si>
  <si>
    <t>Activo 3</t>
  </si>
  <si>
    <t>Depreciación 1</t>
  </si>
  <si>
    <t>Depreciación 2</t>
  </si>
  <si>
    <t>Depreciación 3</t>
  </si>
  <si>
    <t>BRUTO</t>
  </si>
  <si>
    <t>NETO</t>
  </si>
  <si>
    <t>Depreciación anual</t>
  </si>
  <si>
    <t>ACUMULADA</t>
  </si>
  <si>
    <t>Amortización 1</t>
  </si>
  <si>
    <t>Amortización 2</t>
  </si>
  <si>
    <t>Amortización 3</t>
  </si>
  <si>
    <t>Amortización anual</t>
  </si>
  <si>
    <t>Otro capital</t>
  </si>
  <si>
    <t>Detalle de intangibles</t>
  </si>
  <si>
    <t>Detalle de PPE</t>
  </si>
  <si>
    <t>Costo de venta</t>
  </si>
  <si>
    <t>Detalle de deudas</t>
  </si>
  <si>
    <t>Préstamos a CP</t>
  </si>
  <si>
    <t>PCDLP</t>
  </si>
  <si>
    <t>Préstamos a LP</t>
  </si>
  <si>
    <t>Total</t>
  </si>
  <si>
    <t>Gasto financiero</t>
  </si>
  <si>
    <t>Gastos administrativos</t>
  </si>
  <si>
    <t>Costos de venta</t>
  </si>
  <si>
    <t>Ingresos por venta</t>
  </si>
  <si>
    <t>Costos directos</t>
  </si>
  <si>
    <t>Costos indirectos</t>
  </si>
  <si>
    <t>Gasto de depreciación</t>
  </si>
  <si>
    <t>Gasto de amortización</t>
  </si>
  <si>
    <t>Otros ingresos / gastos</t>
  </si>
  <si>
    <t>Cuentas por cobrar brutas</t>
  </si>
  <si>
    <t>Incobrables</t>
  </si>
  <si>
    <t>Cuentas por cobrar netas</t>
  </si>
  <si>
    <t>Deterioro</t>
  </si>
  <si>
    <t>Inventario neto</t>
  </si>
  <si>
    <t>Inventario bruto</t>
  </si>
  <si>
    <t>Efectivo</t>
  </si>
  <si>
    <t>Otros activos</t>
  </si>
  <si>
    <t>Cuentas por pagar</t>
  </si>
  <si>
    <t>Otros pasivos</t>
  </si>
  <si>
    <t>Notas a los estados finacieros</t>
  </si>
  <si>
    <t>Tasa interes promedio</t>
  </si>
  <si>
    <t>Tasa impositiva (%)</t>
  </si>
  <si>
    <t>*Siempre y cuando el acumulado no sobrepase una quinta parte del capital social.</t>
  </si>
  <si>
    <t>Reserva legal (% de UAIR)*</t>
  </si>
  <si>
    <t>Sin vencer</t>
  </si>
  <si>
    <t>Vencimiento de 30 a 60 dias</t>
  </si>
  <si>
    <t>Vencimiento de 60 a 90 dias</t>
  </si>
  <si>
    <t>Vencimiento mayor a 90 dias</t>
  </si>
  <si>
    <t>Impuestos y reserva legal</t>
  </si>
  <si>
    <t>Vencimiento de 0 a 30 dias</t>
  </si>
  <si>
    <t>Código de cifras</t>
  </si>
  <si>
    <t>Azul</t>
  </si>
  <si>
    <t>Verde</t>
  </si>
  <si>
    <t>Negro</t>
  </si>
  <si>
    <t>Color</t>
  </si>
  <si>
    <t>Activo bruto 1</t>
  </si>
  <si>
    <t>Activo bruto 2</t>
  </si>
  <si>
    <t>Activo bruto 3</t>
  </si>
  <si>
    <t>Activo neto 1</t>
  </si>
  <si>
    <t>Activo neto 2</t>
  </si>
  <si>
    <t>Activo neto 3</t>
  </si>
  <si>
    <t>Tipo</t>
  </si>
  <si>
    <t>Constante</t>
  </si>
  <si>
    <t>Referencia</t>
  </si>
  <si>
    <t>Operación</t>
  </si>
  <si>
    <t>Código</t>
  </si>
  <si>
    <t>RGB 0,0,255</t>
  </si>
  <si>
    <t>RGB 0,176,80</t>
  </si>
  <si>
    <t>RGB 64,64,64</t>
  </si>
  <si>
    <t>Nota 1. Ingresos por venta</t>
  </si>
  <si>
    <t>Nota 2. Costos de venta</t>
  </si>
  <si>
    <t>Nota 3. Gastos operativos</t>
  </si>
  <si>
    <t>Nota 4. Otros ingresos y gastos no operativos</t>
  </si>
  <si>
    <t>Nota 5. Tasa impositiva y de reserva legal</t>
  </si>
  <si>
    <t>Nota 6. Efectivo y equivalentes</t>
  </si>
  <si>
    <t>Nota 7. Clientes</t>
  </si>
  <si>
    <t>Nota 8. Intentario</t>
  </si>
  <si>
    <t>Nota 10. Propiedad, planta y equipo</t>
  </si>
  <si>
    <t>Nota 11. Activos intangibles</t>
  </si>
  <si>
    <t>Nota 12. Configuración de deudas</t>
  </si>
  <si>
    <t>Nota 13. Proveedores</t>
  </si>
  <si>
    <t>Nota 14. Otros pasivos de corto y largo plazo</t>
  </si>
  <si>
    <t>Nota 9. Otros activos de corto y largo plazo</t>
  </si>
  <si>
    <t>Nota 15. Capital social y otros</t>
  </si>
  <si>
    <t>Nota 16. Dividendos pagados</t>
  </si>
  <si>
    <t>Tasa de dividendos</t>
  </si>
  <si>
    <t>PARTE 2 - Cuentas de balance</t>
  </si>
  <si>
    <t>PARTE 1 - Cuentas de resultados</t>
  </si>
  <si>
    <t>Nota: Cifras auditadas en miles de dólares estadounidenses</t>
  </si>
  <si>
    <t>Estados financieros</t>
  </si>
  <si>
    <t>Estado de resultados</t>
  </si>
  <si>
    <t>Año 1</t>
  </si>
  <si>
    <t>Costos</t>
  </si>
  <si>
    <t>Utilidad bruta</t>
  </si>
  <si>
    <t>Gastos de administración</t>
  </si>
  <si>
    <t>Depreciación</t>
  </si>
  <si>
    <t>Utilidad de operación</t>
  </si>
  <si>
    <t>Gastos financieros</t>
  </si>
  <si>
    <t>Utilidad antes de impuestos y reserva legal</t>
  </si>
  <si>
    <t>Impuestos</t>
  </si>
  <si>
    <t>Reserva legal</t>
  </si>
  <si>
    <t>Utilidad neta</t>
  </si>
  <si>
    <t>EBITDA</t>
  </si>
  <si>
    <t>Amortización</t>
  </si>
  <si>
    <t>Años de vida útil intangible</t>
  </si>
  <si>
    <t>Años de vida útil PPE</t>
  </si>
  <si>
    <t>Balance general</t>
  </si>
  <si>
    <t>Activos circulantes</t>
  </si>
  <si>
    <t>PPE bruto</t>
  </si>
  <si>
    <t>(-) Depreciación acumulada</t>
  </si>
  <si>
    <t>PPE neto</t>
  </si>
  <si>
    <t>Intangible bruto</t>
  </si>
  <si>
    <t>(-) Amortización acumulada</t>
  </si>
  <si>
    <t>Intangible neto</t>
  </si>
  <si>
    <t>Activos no circulantes</t>
  </si>
  <si>
    <t>Préstamos de corto plazo</t>
  </si>
  <si>
    <t>Porción circulante de la deuda de largo plazo</t>
  </si>
  <si>
    <t>Pasivos circulantes</t>
  </si>
  <si>
    <t>Préstamos de largo plazo</t>
  </si>
  <si>
    <t>Pasivos no circulantes</t>
  </si>
  <si>
    <t>Utilidades retenidas</t>
  </si>
  <si>
    <t>Capital contable</t>
  </si>
  <si>
    <t>Cuadre del balance A = P + C</t>
  </si>
  <si>
    <t>Estado de cambios en el patrimonio</t>
  </si>
  <si>
    <t>Cambio en la utilidad retenida</t>
  </si>
  <si>
    <t>Cambio en el capital social</t>
  </si>
  <si>
    <t>Capital contable al inicio</t>
  </si>
  <si>
    <t>Capital contable al final</t>
  </si>
  <si>
    <t>Cambios en la reserva legal</t>
  </si>
  <si>
    <t>Cambios en el otro capital</t>
  </si>
  <si>
    <t>Cuadre de capital contable</t>
  </si>
  <si>
    <t>Estado de flujo de efectivo</t>
  </si>
  <si>
    <t>Inventarios</t>
  </si>
  <si>
    <t>Efectivo después de operaciones</t>
  </si>
  <si>
    <t>Intangibles brutos</t>
  </si>
  <si>
    <t>Efectivo después de inversiones</t>
  </si>
  <si>
    <t>Préstamos a corto plazo</t>
  </si>
  <si>
    <t>Préstamos a largo plazo</t>
  </si>
  <si>
    <t>Otros pasivo no circulantes</t>
  </si>
  <si>
    <t>Efectivo después de financiamiento</t>
  </si>
  <si>
    <t>Efectivo inicial</t>
  </si>
  <si>
    <t>Efectivo final</t>
  </si>
  <si>
    <t>Seleccione un perfil</t>
  </si>
  <si>
    <t>Indicadores | Ratios financieros</t>
  </si>
  <si>
    <t>Perfil robusto</t>
  </si>
  <si>
    <t>Perfil estable</t>
  </si>
  <si>
    <t>Ratio</t>
  </si>
  <si>
    <t>Fórmula</t>
  </si>
  <si>
    <t>Condición clave</t>
  </si>
  <si>
    <t>Interpretación</t>
  </si>
  <si>
    <t>Perfil débil</t>
  </si>
  <si>
    <t>Rentabilidad</t>
  </si>
  <si>
    <t>Margen operación</t>
  </si>
  <si>
    <t>Utilidad operación / Ventas</t>
  </si>
  <si>
    <t>Margen neto</t>
  </si>
  <si>
    <t>Utilidad neta / Ventas</t>
  </si>
  <si>
    <t>ROA</t>
  </si>
  <si>
    <t>Utilidad neta / Activo</t>
  </si>
  <si>
    <t>Según industria (tendencia +) Ind. ≈ 7%</t>
  </si>
  <si>
    <t>ROE</t>
  </si>
  <si>
    <t>Utilidad neta / Patrimonio</t>
  </si>
  <si>
    <t>Según industria (tendencia +) Ind. ≈ 20%</t>
  </si>
  <si>
    <t>Liquidez</t>
  </si>
  <si>
    <t xml:space="preserve">Razón circulante </t>
  </si>
  <si>
    <t>Activo circulante / Pasivo circulante</t>
  </si>
  <si>
    <t>≥ 1.0</t>
  </si>
  <si>
    <t>Prueba ácida</t>
  </si>
  <si>
    <t>(Efectivo + Cuentas por cobrar) / Pasivo corriente</t>
  </si>
  <si>
    <t>Solvencia</t>
  </si>
  <si>
    <t>Estructura de capital</t>
  </si>
  <si>
    <t>Pasivo / Patrimonio</t>
  </si>
  <si>
    <t>≤ 2.5</t>
  </si>
  <si>
    <t>Cobertura servicio de deuda</t>
  </si>
  <si>
    <t>≥ 1.25</t>
  </si>
  <si>
    <t>Dias cuentas por cobrar</t>
  </si>
  <si>
    <t>(Cuentas por cobrar promedio*365)/Ventas</t>
  </si>
  <si>
    <t>Según industria (tendencia =) Ind. ≈ 80</t>
  </si>
  <si>
    <t>Rotación inventarios</t>
  </si>
  <si>
    <t>Costo de venta / Inventario promedio</t>
  </si>
  <si>
    <t>Según industria (tendencia =) Ind. ≈ 3.2</t>
  </si>
  <si>
    <t>Fuente de lista:</t>
  </si>
  <si>
    <t>Según industria (tendencia +) Ind. ≈ 18%, $900k anual</t>
  </si>
  <si>
    <t>Según industria (tendencia +) Ind. ≈ 4.5%, $225k anual</t>
  </si>
  <si>
    <t>Análisis vertical</t>
  </si>
  <si>
    <t>ER (en % de ingresos)</t>
  </si>
  <si>
    <t>Análisis horizontal</t>
  </si>
  <si>
    <t>ER (Cambio % | crecimiento)</t>
  </si>
  <si>
    <t>ER (Cambio $)</t>
  </si>
  <si>
    <t>BG (en % de activos totales)</t>
  </si>
  <si>
    <t>BG (Cambio % | crecimiento)</t>
  </si>
  <si>
    <t>BG (Cambio $)</t>
  </si>
  <si>
    <t>EBITDA / (Gastos financieros + PCP + PCDLP)</t>
  </si>
  <si>
    <t>Rotación</t>
  </si>
  <si>
    <t>Dias</t>
  </si>
  <si>
    <t>% de ventas</t>
  </si>
  <si>
    <t>% de costo de ventas</t>
  </si>
  <si>
    <t>Indicadores de actividad | operación</t>
  </si>
  <si>
    <t>Proporción de vencimientos</t>
  </si>
  <si>
    <t>Comentarios sobre el flujo de efectivo</t>
  </si>
  <si>
    <t>Funciona como autofinanciamiento</t>
  </si>
  <si>
    <t>Depósitos</t>
  </si>
  <si>
    <t>Año</t>
  </si>
  <si>
    <t>Monto</t>
  </si>
  <si>
    <t>Utilidad Neta</t>
  </si>
  <si>
    <t>Etiquetas de fila</t>
  </si>
  <si>
    <t>Etiquetas de columna</t>
  </si>
  <si>
    <t>Suma de Monto</t>
  </si>
  <si>
    <t>Promedio de Monto</t>
  </si>
  <si>
    <t>Tipo de Ratio</t>
  </si>
  <si>
    <t>Valor</t>
  </si>
  <si>
    <t>Tipo de operación</t>
  </si>
  <si>
    <t>Suma de Valor</t>
  </si>
  <si>
    <t>Total general</t>
  </si>
  <si>
    <t>Empresa "Andes Finance Group"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</si>
</sst>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&quot;$&quot;#,##0"/>
    <numFmt numFmtId="166" formatCode="0.0%"/>
    <numFmt numFmtId="167" formatCode="0.0"/>
    <numFmt numFmtId="168" formatCode="&quot;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  <font>
      <sz val="10"/>
      <color rgb="FF00B050"/>
      <name val="Segoe UI"/>
      <family val="2"/>
    </font>
    <font>
      <sz val="10"/>
      <color rgb="FF0070C0"/>
      <name val="Segoe UI"/>
      <family val="2"/>
    </font>
    <font>
      <b/>
      <sz val="10"/>
      <color theme="1" tint="0.249977111117893"/>
      <name val="Segoe UI"/>
      <family val="2"/>
    </font>
    <font>
      <sz val="10"/>
      <color theme="1" tint="0.249977111117893"/>
      <name val="Segoe UI"/>
      <family val="2"/>
    </font>
    <font>
      <i/>
      <sz val="10"/>
      <color theme="1" tint="0.249977111117893"/>
      <name val="Segoe UI"/>
      <family val="2"/>
    </font>
    <font>
      <sz val="10"/>
      <color theme="4"/>
      <name val="Segoe UI"/>
      <family val="2"/>
    </font>
    <font>
      <b/>
      <sz val="10"/>
      <color theme="1"/>
      <name val="Segoe UI"/>
      <family val="2"/>
    </font>
    <font>
      <sz val="10"/>
      <color rgb="FF0000FF"/>
      <name val="Segoe UI"/>
      <family val="2"/>
    </font>
    <font>
      <i/>
      <sz val="10"/>
      <color theme="1"/>
      <name val="Segoe UI"/>
      <family val="2"/>
    </font>
    <font>
      <b/>
      <sz val="10"/>
      <color rgb="FF00B050"/>
      <name val="Segoe UI"/>
      <family val="2"/>
    </font>
    <font>
      <u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404040"/>
      <name val="Segoe UI"/>
      <family val="2"/>
    </font>
    <font>
      <i/>
      <sz val="10"/>
      <color rgb="FF404040"/>
      <name val="Segoe UI"/>
      <family val="2"/>
    </font>
    <font>
      <sz val="10"/>
      <color theme="0"/>
      <name val="Segoe UI"/>
      <family val="2"/>
    </font>
    <font>
      <sz val="10"/>
      <color theme="1" tint="0.499984740745262"/>
      <name val="Segoe UI"/>
      <family val="2"/>
    </font>
    <font>
      <sz val="10"/>
      <color rgb="FFFF0000"/>
      <name val="Segoe U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8" fillId="2" borderId="0" xfId="0" applyFont="1" applyFill="1" applyAlignment="1">
      <alignment vertical="center"/>
    </xf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3" fillId="0" borderId="3" xfId="0" applyFont="1" applyBorder="1"/>
    <xf numFmtId="0" fontId="2" fillId="0" borderId="3" xfId="0" applyFont="1" applyBorder="1"/>
    <xf numFmtId="0" fontId="5" fillId="0" borderId="3" xfId="0" applyFont="1" applyBorder="1"/>
    <xf numFmtId="0" fontId="11" fillId="0" borderId="0" xfId="0" applyFont="1"/>
    <xf numFmtId="0" fontId="12" fillId="0" borderId="0" xfId="0" applyFont="1"/>
    <xf numFmtId="0" fontId="8" fillId="0" borderId="3" xfId="0" applyFont="1" applyBorder="1"/>
    <xf numFmtId="0" fontId="13" fillId="0" borderId="0" xfId="0" applyFont="1"/>
    <xf numFmtId="0" fontId="8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/>
    <xf numFmtId="0" fontId="1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3" fillId="0" borderId="0" xfId="0" applyFont="1"/>
    <xf numFmtId="0" fontId="9" fillId="0" borderId="3" xfId="0" applyFont="1" applyBorder="1"/>
    <xf numFmtId="0" fontId="8" fillId="0" borderId="0" xfId="0" applyFont="1"/>
    <xf numFmtId="0" fontId="14" fillId="0" borderId="0" xfId="0" applyFont="1"/>
    <xf numFmtId="0" fontId="4" fillId="3" borderId="1" xfId="0" applyFont="1" applyFill="1" applyBorder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18" fillId="0" borderId="2" xfId="0" applyFont="1" applyBorder="1"/>
    <xf numFmtId="0" fontId="18" fillId="0" borderId="0" xfId="0" applyFont="1"/>
    <xf numFmtId="0" fontId="17" fillId="0" borderId="0" xfId="0" applyFont="1" applyAlignment="1">
      <alignment horizontal="left" indent="2"/>
    </xf>
    <xf numFmtId="0" fontId="20" fillId="0" borderId="0" xfId="0" applyFont="1"/>
    <xf numFmtId="0" fontId="17" fillId="0" borderId="0" xfId="0" applyFont="1" applyAlignment="1">
      <alignment horizontal="right"/>
    </xf>
    <xf numFmtId="0" fontId="4" fillId="3" borderId="1" xfId="0" applyFont="1" applyFill="1" applyBorder="1" applyAlignment="1">
      <alignment horizontal="right"/>
    </xf>
    <xf numFmtId="1" fontId="6" fillId="0" borderId="0" xfId="0" applyNumberFormat="1" applyFont="1" applyAlignment="1">
      <alignment horizontal="right"/>
    </xf>
    <xf numFmtId="1" fontId="18" fillId="0" borderId="2" xfId="0" applyNumberFormat="1" applyFont="1" applyBorder="1" applyAlignment="1">
      <alignment horizontal="right"/>
    </xf>
    <xf numFmtId="1" fontId="18" fillId="0" borderId="0" xfId="0" applyNumberFormat="1" applyFont="1" applyAlignment="1">
      <alignment horizontal="right"/>
    </xf>
    <xf numFmtId="1" fontId="17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1" fontId="11" fillId="0" borderId="0" xfId="0" applyNumberFormat="1" applyFont="1" applyAlignment="1">
      <alignment horizontal="right"/>
    </xf>
    <xf numFmtId="165" fontId="3" fillId="0" borderId="3" xfId="0" applyNumberFormat="1" applyFont="1" applyBorder="1" applyAlignment="1">
      <alignment horizontal="right"/>
    </xf>
    <xf numFmtId="1" fontId="8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" fontId="11" fillId="0" borderId="0" xfId="1" applyNumberFormat="1" applyFont="1" applyBorder="1" applyAlignment="1">
      <alignment horizontal="right"/>
    </xf>
    <xf numFmtId="9" fontId="11" fillId="0" borderId="0" xfId="2" applyFont="1" applyBorder="1" applyAlignment="1">
      <alignment horizontal="right"/>
    </xf>
    <xf numFmtId="1" fontId="8" fillId="0" borderId="2" xfId="0" applyNumberFormat="1" applyFont="1" applyBorder="1" applyAlignment="1">
      <alignment horizontal="right"/>
    </xf>
    <xf numFmtId="1" fontId="9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5" fontId="5" fillId="0" borderId="3" xfId="0" applyNumberFormat="1" applyFont="1" applyBorder="1" applyAlignment="1">
      <alignment horizontal="right"/>
    </xf>
    <xf numFmtId="1" fontId="5" fillId="0" borderId="3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right"/>
    </xf>
    <xf numFmtId="166" fontId="9" fillId="0" borderId="0" xfId="2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1" fontId="11" fillId="0" borderId="3" xfId="0" applyNumberFormat="1" applyFont="1" applyBorder="1" applyAlignment="1">
      <alignment horizontal="right"/>
    </xf>
    <xf numFmtId="0" fontId="10" fillId="0" borderId="0" xfId="0" applyFont="1" applyAlignment="1">
      <alignment vertical="center" wrapText="1"/>
    </xf>
    <xf numFmtId="1" fontId="1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8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9" fontId="9" fillId="0" borderId="0" xfId="2" applyFont="1" applyBorder="1"/>
    <xf numFmtId="43" fontId="9" fillId="0" borderId="0" xfId="1" applyFont="1" applyBorder="1"/>
    <xf numFmtId="43" fontId="2" fillId="0" borderId="0" xfId="1" applyFont="1"/>
    <xf numFmtId="164" fontId="2" fillId="0" borderId="0" xfId="0" applyNumberFormat="1" applyFont="1"/>
    <xf numFmtId="0" fontId="4" fillId="3" borderId="0" xfId="0" applyFont="1" applyFill="1"/>
    <xf numFmtId="0" fontId="20" fillId="3" borderId="0" xfId="0" applyFont="1" applyFill="1"/>
    <xf numFmtId="0" fontId="20" fillId="3" borderId="0" xfId="0" applyFont="1" applyFill="1" applyAlignment="1">
      <alignment horizontal="center"/>
    </xf>
    <xf numFmtId="0" fontId="4" fillId="0" borderId="0" xfId="0" applyFont="1"/>
    <xf numFmtId="0" fontId="20" fillId="0" borderId="0" xfId="0" applyFont="1" applyAlignment="1">
      <alignment horizontal="center"/>
    </xf>
    <xf numFmtId="0" fontId="21" fillId="0" borderId="3" xfId="0" applyFont="1" applyBorder="1"/>
    <xf numFmtId="0" fontId="21" fillId="0" borderId="0" xfId="0" applyFont="1"/>
    <xf numFmtId="0" fontId="22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9" fontId="9" fillId="0" borderId="0" xfId="2" applyFont="1" applyAlignment="1">
      <alignment horizontal="right"/>
    </xf>
    <xf numFmtId="9" fontId="8" fillId="0" borderId="2" xfId="2" applyFont="1" applyBorder="1" applyAlignment="1">
      <alignment horizontal="right"/>
    </xf>
    <xf numFmtId="9" fontId="8" fillId="0" borderId="0" xfId="2" applyFont="1" applyAlignment="1">
      <alignment horizontal="right"/>
    </xf>
    <xf numFmtId="0" fontId="4" fillId="4" borderId="1" xfId="0" applyFont="1" applyFill="1" applyBorder="1" applyAlignment="1">
      <alignment horizontal="right"/>
    </xf>
    <xf numFmtId="9" fontId="6" fillId="0" borderId="0" xfId="2" applyFont="1" applyBorder="1"/>
    <xf numFmtId="1" fontId="9" fillId="0" borderId="0" xfId="2" applyNumberFormat="1" applyFont="1" applyAlignment="1">
      <alignment horizontal="right"/>
    </xf>
    <xf numFmtId="1" fontId="8" fillId="0" borderId="2" xfId="2" applyNumberFormat="1" applyFont="1" applyBorder="1" applyAlignment="1">
      <alignment horizontal="right"/>
    </xf>
    <xf numFmtId="1" fontId="8" fillId="0" borderId="0" xfId="2" applyNumberFormat="1" applyFont="1" applyAlignment="1">
      <alignment horizontal="right"/>
    </xf>
    <xf numFmtId="9" fontId="17" fillId="0" borderId="0" xfId="2" applyFont="1" applyAlignment="1">
      <alignment horizontal="right"/>
    </xf>
    <xf numFmtId="2" fontId="6" fillId="0" borderId="0" xfId="2" applyNumberFormat="1" applyFont="1" applyAlignment="1">
      <alignment horizontal="right"/>
    </xf>
    <xf numFmtId="2" fontId="18" fillId="0" borderId="2" xfId="2" applyNumberFormat="1" applyFont="1" applyBorder="1" applyAlignment="1">
      <alignment horizontal="right"/>
    </xf>
    <xf numFmtId="2" fontId="17" fillId="0" borderId="0" xfId="2" applyNumberFormat="1" applyFont="1" applyAlignment="1">
      <alignment horizontal="right"/>
    </xf>
    <xf numFmtId="9" fontId="6" fillId="0" borderId="0" xfId="2" applyFont="1" applyFill="1" applyAlignment="1">
      <alignment horizontal="right"/>
    </xf>
    <xf numFmtId="9" fontId="18" fillId="0" borderId="2" xfId="2" applyFont="1" applyFill="1" applyBorder="1" applyAlignment="1">
      <alignment horizontal="right"/>
    </xf>
    <xf numFmtId="9" fontId="17" fillId="0" borderId="0" xfId="2" applyFont="1" applyFill="1" applyAlignment="1">
      <alignment horizontal="right"/>
    </xf>
    <xf numFmtId="9" fontId="9" fillId="0" borderId="0" xfId="2" applyFont="1" applyFill="1" applyAlignment="1">
      <alignment horizontal="right"/>
    </xf>
    <xf numFmtId="43" fontId="9" fillId="0" borderId="0" xfId="1" applyFont="1" applyFill="1" applyBorder="1"/>
    <xf numFmtId="0" fontId="9" fillId="0" borderId="0" xfId="0" applyFont="1" applyAlignment="1">
      <alignment horizontal="left" indent="2"/>
    </xf>
    <xf numFmtId="0" fontId="8" fillId="0" borderId="0" xfId="0" applyFont="1" applyAlignment="1">
      <alignment horizontal="right"/>
    </xf>
    <xf numFmtId="164" fontId="9" fillId="0" borderId="0" xfId="0" applyNumberFormat="1" applyFont="1"/>
    <xf numFmtId="9" fontId="9" fillId="0" borderId="0" xfId="2" applyFont="1" applyFill="1" applyBorder="1"/>
    <xf numFmtId="43" fontId="9" fillId="0" borderId="0" xfId="1" applyFont="1" applyFill="1" applyBorder="1" applyAlignment="1">
      <alignment horizontal="right"/>
    </xf>
    <xf numFmtId="9" fontId="8" fillId="0" borderId="2" xfId="2" applyFont="1" applyFill="1" applyBorder="1" applyAlignment="1">
      <alignment horizontal="right"/>
    </xf>
    <xf numFmtId="9" fontId="2" fillId="0" borderId="0" xfId="2" applyFont="1" applyBorder="1"/>
    <xf numFmtId="0" fontId="18" fillId="0" borderId="1" xfId="0" applyFont="1" applyBorder="1"/>
    <xf numFmtId="0" fontId="17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9" fontId="2" fillId="0" borderId="0" xfId="2" applyFont="1" applyBorder="1" applyAlignment="1">
      <alignment horizontal="center"/>
    </xf>
    <xf numFmtId="2" fontId="6" fillId="0" borderId="0" xfId="0" applyNumberFormat="1" applyFont="1"/>
    <xf numFmtId="2" fontId="6" fillId="0" borderId="0" xfId="1" applyNumberFormat="1" applyFont="1" applyBorder="1"/>
    <xf numFmtId="43" fontId="9" fillId="0" borderId="0" xfId="1" applyFont="1" applyBorder="1" applyAlignment="1">
      <alignment horizontal="right"/>
    </xf>
    <xf numFmtId="0" fontId="9" fillId="0" borderId="1" xfId="0" applyFont="1" applyBorder="1" applyAlignment="1">
      <alignment horizontal="left" indent="2"/>
    </xf>
    <xf numFmtId="43" fontId="9" fillId="0" borderId="1" xfId="1" applyFont="1" applyFill="1" applyBorder="1" applyAlignment="1">
      <alignment horizontal="right"/>
    </xf>
    <xf numFmtId="164" fontId="9" fillId="0" borderId="1" xfId="0" applyNumberFormat="1" applyFont="1" applyBorder="1"/>
    <xf numFmtId="0" fontId="18" fillId="0" borderId="1" xfId="0" applyFont="1" applyBorder="1" applyAlignment="1">
      <alignment horizontal="right"/>
    </xf>
    <xf numFmtId="1" fontId="2" fillId="0" borderId="0" xfId="0" applyNumberFormat="1" applyFont="1"/>
    <xf numFmtId="9" fontId="3" fillId="0" borderId="1" xfId="2" applyFont="1" applyBorder="1" applyAlignment="1">
      <alignment horizontal="right"/>
    </xf>
    <xf numFmtId="2" fontId="2" fillId="0" borderId="0" xfId="0" applyNumberFormat="1" applyFont="1"/>
    <xf numFmtId="167" fontId="2" fillId="0" borderId="0" xfId="0" applyNumberFormat="1" applyFont="1"/>
    <xf numFmtId="1" fontId="15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right"/>
    </xf>
    <xf numFmtId="166" fontId="9" fillId="0" borderId="0" xfId="2" applyNumberFormat="1" applyFont="1" applyAlignment="1">
      <alignment horizontal="right"/>
    </xf>
    <xf numFmtId="166" fontId="8" fillId="0" borderId="2" xfId="2" applyNumberFormat="1" applyFont="1" applyBorder="1" applyAlignment="1">
      <alignment horizontal="right"/>
    </xf>
    <xf numFmtId="166" fontId="8" fillId="0" borderId="0" xfId="2" applyNumberFormat="1" applyFont="1" applyAlignment="1">
      <alignment horizontal="right"/>
    </xf>
    <xf numFmtId="0" fontId="12" fillId="2" borderId="1" xfId="0" applyFont="1" applyFill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43" fontId="0" fillId="0" borderId="0" xfId="0" applyNumberFormat="1"/>
    <xf numFmtId="2" fontId="0" fillId="0" borderId="0" xfId="0" applyNumberFormat="1"/>
    <xf numFmtId="0" fontId="23" fillId="5" borderId="4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4" fillId="0" borderId="0" xfId="0" applyFont="1"/>
    <xf numFmtId="0" fontId="25" fillId="5" borderId="0" xfId="0" applyFont="1" applyFill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1" fontId="0" fillId="0" borderId="0" xfId="0" applyNumberFormat="1"/>
    <xf numFmtId="10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horizontal="left"/>
    </xf>
    <xf numFmtId="0" fontId="4" fillId="7" borderId="0" xfId="0" applyFont="1" applyFill="1" applyAlignment="1">
      <alignment horizontal="right"/>
    </xf>
    <xf numFmtId="0" fontId="4" fillId="7" borderId="0" xfId="0" applyFont="1" applyFill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24"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Segoe UI"/>
        <family val="2"/>
        <scheme val="none"/>
      </font>
    </dxf>
    <dxf>
      <font>
        <b/>
      </font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B050"/>
      <color rgb="FF0000FF"/>
      <color rgb="FF404040"/>
      <color rgb="FFED7D3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TD!estadosderesultadosTD</c:name>
    <c:fmtId val="60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Estado de 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auxiliar TD'!$B$2:$B$3</c:f>
              <c:strCache>
                <c:ptCount val="1"/>
                <c:pt idx="0">
                  <c:v>Costos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TD'!$A$4:$A$6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TD'!$B$4:$B$6</c:f>
              <c:numCache>
                <c:formatCode>General</c:formatCode>
                <c:ptCount val="3"/>
                <c:pt idx="0">
                  <c:v>1440</c:v>
                </c:pt>
                <c:pt idx="1">
                  <c:v>1682</c:v>
                </c:pt>
                <c:pt idx="2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D-4A02-90C0-0F7D777574DB}"/>
            </c:ext>
          </c:extLst>
        </c:ser>
        <c:ser>
          <c:idx val="1"/>
          <c:order val="1"/>
          <c:tx>
            <c:strRef>
              <c:f>'Hoja auxiliar TD'!$C$2:$C$3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TD'!$A$4:$A$6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TD'!$C$4:$C$6</c:f>
              <c:numCache>
                <c:formatCode>General</c:formatCode>
                <c:ptCount val="3"/>
                <c:pt idx="0">
                  <c:v>2400</c:v>
                </c:pt>
                <c:pt idx="1">
                  <c:v>2900</c:v>
                </c:pt>
                <c:pt idx="2">
                  <c:v>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68-47D5-A427-08C59093463A}"/>
            </c:ext>
          </c:extLst>
        </c:ser>
        <c:ser>
          <c:idx val="2"/>
          <c:order val="2"/>
          <c:tx>
            <c:strRef>
              <c:f>'Hoja auxiliar TD'!$D$2:$D$3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TD'!$A$4:$A$6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TD'!$D$4:$D$6</c:f>
              <c:numCache>
                <c:formatCode>General</c:formatCode>
                <c:ptCount val="3"/>
                <c:pt idx="0">
                  <c:v>129</c:v>
                </c:pt>
                <c:pt idx="1">
                  <c:v>207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68-47D5-A427-08C5909346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02816"/>
        <c:axId val="40722016"/>
      </c:barChart>
      <c:catAx>
        <c:axId val="407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722016"/>
        <c:crosses val="autoZero"/>
        <c:auto val="1"/>
        <c:lblAlgn val="ctr"/>
        <c:lblOffset val="100"/>
        <c:noMultiLvlLbl val="0"/>
      </c:catAx>
      <c:valAx>
        <c:axId val="40722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7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TD!utilidadnetaTD</c:name>
    <c:fmtId val="6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'Hoja auxiliar TD'!$B$8:$B$9</c:f>
              <c:strCache>
                <c:ptCount val="1"/>
                <c:pt idx="0">
                  <c:v>Utilidad Neta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TD'!$A$10:$A$12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TD'!$B$10:$B$12</c:f>
              <c:numCache>
                <c:formatCode>General</c:formatCode>
                <c:ptCount val="3"/>
                <c:pt idx="0">
                  <c:v>129</c:v>
                </c:pt>
                <c:pt idx="1">
                  <c:v>207</c:v>
                </c:pt>
                <c:pt idx="2">
                  <c:v>330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7B-4D7C-95A2-4B129A6A53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758976"/>
        <c:axId val="40733056"/>
      </c:lineChart>
      <c:catAx>
        <c:axId val="4075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733056"/>
        <c:crosses val="autoZero"/>
        <c:auto val="1"/>
        <c:lblAlgn val="ctr"/>
        <c:lblOffset val="100"/>
        <c:noMultiLvlLbl val="0"/>
      </c:catAx>
      <c:valAx>
        <c:axId val="40733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75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TD!BalanceTD</c:name>
    <c:fmtId val="23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Activos y pasivos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'Hoja auxiliar TD'!$N$2:$N$3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TD'!$M$4:$M$8</c:f>
              <c:strCache>
                <c:ptCount val="5"/>
                <c:pt idx="0">
                  <c:v>Activos circulantes</c:v>
                </c:pt>
                <c:pt idx="1">
                  <c:v>Activos no circulantes</c:v>
                </c:pt>
                <c:pt idx="2">
                  <c:v>Capital contable</c:v>
                </c:pt>
                <c:pt idx="3">
                  <c:v>Pasivos circulantes</c:v>
                </c:pt>
                <c:pt idx="4">
                  <c:v>Pasivos no circulantes</c:v>
                </c:pt>
              </c:strCache>
            </c:strRef>
          </c:cat>
          <c:val>
            <c:numRef>
              <c:f>'Hoja auxiliar TD'!$N$4:$N$8</c:f>
              <c:numCache>
                <c:formatCode>General</c:formatCode>
                <c:ptCount val="5"/>
                <c:pt idx="0">
                  <c:v>855</c:v>
                </c:pt>
                <c:pt idx="1">
                  <c:v>967</c:v>
                </c:pt>
                <c:pt idx="2">
                  <c:v>743</c:v>
                </c:pt>
                <c:pt idx="3">
                  <c:v>576</c:v>
                </c:pt>
                <c:pt idx="4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A-4658-BC3F-EBAF8E4F7574}"/>
            </c:ext>
          </c:extLst>
        </c:ser>
        <c:ser>
          <c:idx val="1"/>
          <c:order val="1"/>
          <c:tx>
            <c:strRef>
              <c:f>'Hoja auxiliar TD'!$O$2:$O$3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TD'!$M$4:$M$8</c:f>
              <c:strCache>
                <c:ptCount val="5"/>
                <c:pt idx="0">
                  <c:v>Activos circulantes</c:v>
                </c:pt>
                <c:pt idx="1">
                  <c:v>Activos no circulantes</c:v>
                </c:pt>
                <c:pt idx="2">
                  <c:v>Capital contable</c:v>
                </c:pt>
                <c:pt idx="3">
                  <c:v>Pasivos circulantes</c:v>
                </c:pt>
                <c:pt idx="4">
                  <c:v>Pasivos no circulantes</c:v>
                </c:pt>
              </c:strCache>
            </c:strRef>
          </c:cat>
          <c:val>
            <c:numRef>
              <c:f>'Hoja auxiliar TD'!$O$4:$O$8</c:f>
              <c:numCache>
                <c:formatCode>General</c:formatCode>
                <c:ptCount val="5"/>
                <c:pt idx="0">
                  <c:v>1083</c:v>
                </c:pt>
                <c:pt idx="1">
                  <c:v>990</c:v>
                </c:pt>
                <c:pt idx="2">
                  <c:v>971</c:v>
                </c:pt>
                <c:pt idx="3">
                  <c:v>548</c:v>
                </c:pt>
                <c:pt idx="4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1-4187-9007-406389C0D3B8}"/>
            </c:ext>
          </c:extLst>
        </c:ser>
        <c:ser>
          <c:idx val="2"/>
          <c:order val="2"/>
          <c:tx>
            <c:strRef>
              <c:f>'Hoja auxiliar TD'!$P$2:$P$3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TD'!$M$4:$M$8</c:f>
              <c:strCache>
                <c:ptCount val="5"/>
                <c:pt idx="0">
                  <c:v>Activos circulantes</c:v>
                </c:pt>
                <c:pt idx="1">
                  <c:v>Activos no circulantes</c:v>
                </c:pt>
                <c:pt idx="2">
                  <c:v>Capital contable</c:v>
                </c:pt>
                <c:pt idx="3">
                  <c:v>Pasivos circulantes</c:v>
                </c:pt>
                <c:pt idx="4">
                  <c:v>Pasivos no circulantes</c:v>
                </c:pt>
              </c:strCache>
            </c:strRef>
          </c:cat>
          <c:val>
            <c:numRef>
              <c:f>'Hoja auxiliar TD'!$P$4:$P$8</c:f>
              <c:numCache>
                <c:formatCode>General</c:formatCode>
                <c:ptCount val="5"/>
                <c:pt idx="0">
                  <c:v>1515</c:v>
                </c:pt>
                <c:pt idx="1">
                  <c:v>950</c:v>
                </c:pt>
                <c:pt idx="2">
                  <c:v>1285</c:v>
                </c:pt>
                <c:pt idx="3">
                  <c:v>640</c:v>
                </c:pt>
                <c:pt idx="4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1-4187-9007-406389C0D3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14077952"/>
        <c:axId val="1414082272"/>
      </c:barChart>
      <c:catAx>
        <c:axId val="141407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4082272"/>
        <c:crosses val="autoZero"/>
        <c:auto val="1"/>
        <c:lblAlgn val="ctr"/>
        <c:lblOffset val="100"/>
        <c:noMultiLvlLbl val="0"/>
      </c:catAx>
      <c:valAx>
        <c:axId val="141408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407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TD!CapitalcontableTD</c:name>
    <c:fmtId val="3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'Hoja auxiliar TD'!$S$2:$S$3</c:f>
              <c:strCache>
                <c:ptCount val="1"/>
                <c:pt idx="0">
                  <c:v>Capital contable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TD'!$R$4:$R$6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TD'!$S$4:$S$6</c:f>
              <c:numCache>
                <c:formatCode>General</c:formatCode>
                <c:ptCount val="3"/>
                <c:pt idx="0">
                  <c:v>743</c:v>
                </c:pt>
                <c:pt idx="1">
                  <c:v>971</c:v>
                </c:pt>
                <c:pt idx="2">
                  <c:v>1285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FA-4026-BB44-BBC8858816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9518816"/>
        <c:axId val="1549519776"/>
      </c:lineChart>
      <c:catAx>
        <c:axId val="15495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9519776"/>
        <c:crosses val="autoZero"/>
        <c:auto val="1"/>
        <c:lblAlgn val="ctr"/>
        <c:lblOffset val="100"/>
        <c:noMultiLvlLbl val="0"/>
      </c:catAx>
      <c:valAx>
        <c:axId val="1549519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951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TD!TablaDinámica10</c:name>
    <c:fmtId val="25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'Hoja auxiliar TD'!$X$2:$X$3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TD'!$W$4:$W$7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TD'!$X$4:$X$7</c:f>
              <c:numCache>
                <c:formatCode>General</c:formatCode>
                <c:ptCount val="3"/>
                <c:pt idx="0">
                  <c:v>343</c:v>
                </c:pt>
                <c:pt idx="1">
                  <c:v>476</c:v>
                </c:pt>
                <c:pt idx="2">
                  <c:v>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26-498E-B633-9682415C01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9504416"/>
        <c:axId val="1549507776"/>
      </c:lineChart>
      <c:catAx>
        <c:axId val="154950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9507776"/>
        <c:crosses val="autoZero"/>
        <c:auto val="1"/>
        <c:lblAlgn val="ctr"/>
        <c:lblOffset val="100"/>
        <c:noMultiLvlLbl val="0"/>
      </c:catAx>
      <c:valAx>
        <c:axId val="1549507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950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TD!RatiosrentabilidadTD</c:name>
    <c:fmtId val="66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Ratios de rentabilidad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auxiliar TD'!$H$2:$H$3</c:f>
              <c:strCache>
                <c:ptCount val="1"/>
                <c:pt idx="0">
                  <c:v>Margen neto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TD'!$G$4:$G$6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TD'!$H$4:$H$6</c:f>
              <c:numCache>
                <c:formatCode>0.00%</c:formatCode>
                <c:ptCount val="3"/>
                <c:pt idx="0">
                  <c:v>5.383333333333333E-2</c:v>
                </c:pt>
                <c:pt idx="1">
                  <c:v>7.1282758620689654E-2</c:v>
                </c:pt>
                <c:pt idx="2">
                  <c:v>9.7005875440658029E-2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1-4E1F-8175-7A1DBBD79C1C}"/>
            </c:ext>
          </c:extLst>
        </c:ser>
        <c:ser>
          <c:idx val="1"/>
          <c:order val="1"/>
          <c:tx>
            <c:strRef>
              <c:f>'Hoja auxiliar TD'!$I$2:$I$3</c:f>
              <c:strCache>
                <c:ptCount val="1"/>
                <c:pt idx="0">
                  <c:v>Margen operación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TD'!$G$4:$G$6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TD'!$I$4:$I$6</c:f>
              <c:numCache>
                <c:formatCode>0.00%</c:formatCode>
                <c:ptCount val="3"/>
                <c:pt idx="0">
                  <c:v>0.1</c:v>
                </c:pt>
                <c:pt idx="1">
                  <c:v>0.12413793103448276</c:v>
                </c:pt>
                <c:pt idx="2">
                  <c:v>0.15940070505287893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1-4E1F-8175-7A1DBBD79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50816"/>
        <c:axId val="40729216"/>
      </c:barChart>
      <c:catAx>
        <c:axId val="4075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729216"/>
        <c:crosses val="autoZero"/>
        <c:auto val="1"/>
        <c:lblAlgn val="ctr"/>
        <c:lblOffset val="100"/>
        <c:noMultiLvlLbl val="0"/>
      </c:catAx>
      <c:valAx>
        <c:axId val="407292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075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TD!RatiosliquidezTD</c:name>
    <c:fmtId val="38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Ratios de liquidez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'Hoja auxiliar TD'!$H$8:$H$9</c:f>
              <c:strCache>
                <c:ptCount val="1"/>
                <c:pt idx="0">
                  <c:v>Prueba ácida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TD'!$G$10:$G$12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TD'!$H$10:$H$12</c:f>
              <c:numCache>
                <c:formatCode>0.00</c:formatCode>
                <c:ptCount val="3"/>
                <c:pt idx="0">
                  <c:v>1.1755208333333333</c:v>
                </c:pt>
                <c:pt idx="1">
                  <c:v>1.3221715328467152</c:v>
                </c:pt>
                <c:pt idx="2">
                  <c:v>1.653046875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0-439D-ADEA-2028323826FF}"/>
            </c:ext>
          </c:extLst>
        </c:ser>
        <c:ser>
          <c:idx val="1"/>
          <c:order val="1"/>
          <c:tx>
            <c:strRef>
              <c:f>'Hoja auxiliar TD'!$I$8:$I$9</c:f>
              <c:strCache>
                <c:ptCount val="1"/>
                <c:pt idx="0">
                  <c:v>Razón circulante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TD'!$G$10:$G$12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TD'!$I$10:$I$12</c:f>
              <c:numCache>
                <c:formatCode>0.00</c:formatCode>
                <c:ptCount val="3"/>
                <c:pt idx="0">
                  <c:v>1.5366319444444445</c:v>
                </c:pt>
                <c:pt idx="1">
                  <c:v>1.975456204379562</c:v>
                </c:pt>
                <c:pt idx="2">
                  <c:v>2.3671093750000001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0-439D-ADEA-2028323826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064032"/>
        <c:axId val="1414061632"/>
      </c:barChart>
      <c:catAx>
        <c:axId val="141406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4061632"/>
        <c:crosses val="autoZero"/>
        <c:auto val="1"/>
        <c:lblAlgn val="ctr"/>
        <c:lblOffset val="100"/>
        <c:noMultiLvlLbl val="0"/>
      </c:catAx>
      <c:valAx>
        <c:axId val="1414061632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41406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TD!RatiosolvenciaTD</c:name>
    <c:fmtId val="32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Ratios de solvencia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'Hoja auxiliar TD'!$H$14:$H$15</c:f>
              <c:strCache>
                <c:ptCount val="1"/>
                <c:pt idx="0">
                  <c:v>Cobertura servicio de deuda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TD'!$G$16:$G$18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TD'!$H$16:$H$18</c:f>
              <c:numCache>
                <c:formatCode>0.00</c:formatCode>
                <c:ptCount val="3"/>
                <c:pt idx="0">
                  <c:v>1.3943089430894309</c:v>
                </c:pt>
                <c:pt idx="1">
                  <c:v>2.1834862385321099</c:v>
                </c:pt>
                <c:pt idx="2">
                  <c:v>2.6150197628458494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0-4522-B690-92DB05151643}"/>
            </c:ext>
          </c:extLst>
        </c:ser>
        <c:ser>
          <c:idx val="1"/>
          <c:order val="1"/>
          <c:tx>
            <c:strRef>
              <c:f>'Hoja auxiliar TD'!$I$14:$I$15</c:f>
              <c:strCache>
                <c:ptCount val="1"/>
                <c:pt idx="0">
                  <c:v>Estructura de capital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TD'!$G$16:$G$18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TD'!$I$16:$I$18</c:f>
              <c:numCache>
                <c:formatCode>0.00</c:formatCode>
                <c:ptCount val="3"/>
                <c:pt idx="0">
                  <c:v>1.4944107744107742</c:v>
                </c:pt>
                <c:pt idx="1">
                  <c:v>1.1352910870685213</c:v>
                </c:pt>
                <c:pt idx="2">
                  <c:v>0.91850237409511959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0-4522-B690-92DB051516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4061152"/>
        <c:axId val="1414066912"/>
      </c:barChart>
      <c:catAx>
        <c:axId val="141406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4066912"/>
        <c:crosses val="autoZero"/>
        <c:auto val="1"/>
        <c:lblAlgn val="ctr"/>
        <c:lblOffset val="100"/>
        <c:noMultiLvlLbl val="0"/>
      </c:catAx>
      <c:valAx>
        <c:axId val="1414066912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4140611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TD!RatiooperacionTD</c:name>
    <c:fmtId val="39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Ratios de operacion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auxiliar TD'!$H$21:$H$22</c:f>
              <c:strCache>
                <c:ptCount val="1"/>
                <c:pt idx="0">
                  <c:v>Dias cuentas por cobrar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TD'!$G$23:$G$24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'Hoja auxiliar TD'!$H$23:$H$24</c:f>
              <c:numCache>
                <c:formatCode>0.00</c:formatCode>
                <c:ptCount val="2"/>
                <c:pt idx="0">
                  <c:v>64.189655172413794</c:v>
                </c:pt>
                <c:pt idx="1">
                  <c:v>71.734723854289072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0-4464-A62B-E1F26C55F14A}"/>
            </c:ext>
          </c:extLst>
        </c:ser>
        <c:ser>
          <c:idx val="1"/>
          <c:order val="1"/>
          <c:tx>
            <c:strRef>
              <c:f>'Hoja auxiliar TD'!$I$21:$I$22</c:f>
              <c:strCache>
                <c:ptCount val="1"/>
                <c:pt idx="0">
                  <c:v>Rotación inventarios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TD'!$G$23:$G$24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'Hoja auxiliar TD'!$I$23:$I$24</c:f>
              <c:numCache>
                <c:formatCode>0.00</c:formatCode>
                <c:ptCount val="2"/>
                <c:pt idx="0">
                  <c:v>7.1574468085106382</c:v>
                </c:pt>
                <c:pt idx="1">
                  <c:v>5.8990769230769233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D-42AB-93E6-E93E2531A2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063552"/>
        <c:axId val="1414049152"/>
      </c:barChart>
      <c:catAx>
        <c:axId val="141406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14049152"/>
        <c:crosses val="autoZero"/>
        <c:auto val="1"/>
        <c:lblAlgn val="ctr"/>
        <c:lblOffset val="100"/>
        <c:noMultiLvlLbl val="0"/>
      </c:catAx>
      <c:valAx>
        <c:axId val="141404915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1406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TD!ROA-ROE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ROA-ROE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'Hoja auxiliar TD'!$H$27:$H$28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TD'!$G$29:$G$31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TD'!$H$29:$H$31</c:f>
              <c:numCache>
                <c:formatCode>0.00%</c:formatCode>
                <c:ptCount val="3"/>
                <c:pt idx="0">
                  <c:v>6.9758652340586355E-2</c:v>
                </c:pt>
                <c:pt idx="1">
                  <c:v>9.9753896636587361E-2</c:v>
                </c:pt>
                <c:pt idx="2">
                  <c:v>0.13397492595447719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8-4D73-875A-C6C65785C7D5}"/>
            </c:ext>
          </c:extLst>
        </c:ser>
        <c:ser>
          <c:idx val="1"/>
          <c:order val="1"/>
          <c:tx>
            <c:strRef>
              <c:f>'Hoja auxiliar TD'!$I$27:$I$28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TD'!$G$29:$G$31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TD'!$I$29:$I$31</c:f>
              <c:numCache>
                <c:formatCode>0.00%</c:formatCode>
                <c:ptCount val="3"/>
                <c:pt idx="0">
                  <c:v>0.174006734006734</c:v>
                </c:pt>
                <c:pt idx="1">
                  <c:v>0.21300360638845955</c:v>
                </c:pt>
                <c:pt idx="2">
                  <c:v>0.25703121351288233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8-4D73-875A-C6C65785C7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46086831"/>
        <c:axId val="846084911"/>
      </c:barChart>
      <c:catAx>
        <c:axId val="84608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46084911"/>
        <c:crosses val="autoZero"/>
        <c:auto val="1"/>
        <c:lblAlgn val="ctr"/>
        <c:lblOffset val="100"/>
        <c:noMultiLvlLbl val="0"/>
      </c:catAx>
      <c:valAx>
        <c:axId val="84608491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460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financiero.xlsx]Hoja auxiliar TD!ROA-ROE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ROA-ROE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'Hoja auxiliar TD'!$H$27:$H$28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TD'!$G$29:$G$31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TD'!$H$29:$H$31</c:f>
              <c:numCache>
                <c:formatCode>0.00%</c:formatCode>
                <c:ptCount val="3"/>
                <c:pt idx="0">
                  <c:v>6.9758652340586355E-2</c:v>
                </c:pt>
                <c:pt idx="1">
                  <c:v>9.9753896636587361E-2</c:v>
                </c:pt>
                <c:pt idx="2">
                  <c:v>0.13397492595447719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A-4A91-91D4-18576D864A7D}"/>
            </c:ext>
          </c:extLst>
        </c:ser>
        <c:ser>
          <c:idx val="1"/>
          <c:order val="1"/>
          <c:tx>
            <c:strRef>
              <c:f>'Hoja auxiliar TD'!$I$27:$I$28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 TD'!$G$29:$G$31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'Hoja auxiliar TD'!$I$29:$I$31</c:f>
              <c:numCache>
                <c:formatCode>0.00%</c:formatCode>
                <c:ptCount val="3"/>
                <c:pt idx="0">
                  <c:v>0.174006734006734</c:v>
                </c:pt>
                <c:pt idx="1">
                  <c:v>0.21300360638845955</c:v>
                </c:pt>
                <c:pt idx="2">
                  <c:v>0.25703121351288233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A-4A91-91D4-18576D864A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6086831"/>
        <c:axId val="846084911"/>
      </c:lineChart>
      <c:catAx>
        <c:axId val="8460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46084911"/>
        <c:crosses val="autoZero"/>
        <c:auto val="1"/>
        <c:lblAlgn val="ctr"/>
        <c:lblOffset val="100"/>
        <c:noMultiLvlLbl val="0"/>
      </c:catAx>
      <c:valAx>
        <c:axId val="84608491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460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</xdr:rowOff>
    </xdr:from>
    <xdr:to>
      <xdr:col>10</xdr:col>
      <xdr:colOff>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C4C86-4B6E-4E5E-873B-DC5EF4144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F3D029-BA6C-43B3-A1B7-EEF7A09EE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390525</xdr:colOff>
      <xdr:row>4</xdr:row>
      <xdr:rowOff>171452</xdr:rowOff>
    </xdr:from>
    <xdr:to>
      <xdr:col>22</xdr:col>
      <xdr:colOff>752475</xdr:colOff>
      <xdr:row>23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C5E2D67-6E0E-4D39-BC9F-489463103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17</xdr:col>
      <xdr:colOff>0</xdr:colOff>
      <xdr:row>35</xdr:row>
      <xdr:rowOff>19655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B20416-690A-466B-9E2D-EC737284E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523875</xdr:colOff>
      <xdr:row>24</xdr:row>
      <xdr:rowOff>21318</xdr:rowOff>
    </xdr:from>
    <xdr:to>
      <xdr:col>23</xdr:col>
      <xdr:colOff>9525</xdr:colOff>
      <xdr:row>35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FDB88FE-282D-4282-8204-69A77661B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22</xdr:col>
      <xdr:colOff>752475</xdr:colOff>
      <xdr:row>4</xdr:row>
      <xdr:rowOff>47625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8181397-1EB8-2CCF-EE0F-664772797914}"/>
            </a:ext>
          </a:extLst>
        </xdr:cNvPr>
        <xdr:cNvSpPr txBox="1"/>
      </xdr:nvSpPr>
      <xdr:spPr>
        <a:xfrm>
          <a:off x="762000" y="190500"/>
          <a:ext cx="16754475" cy="619125"/>
        </a:xfrm>
        <a:prstGeom prst="rect">
          <a:avLst/>
        </a:prstGeom>
        <a:solidFill>
          <a:schemeClr val="lt1"/>
        </a:solidFill>
        <a:ln w="1587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0"/>
            <a:t>Dashboard Financiero – Desempeño Operativo y Estructura</a:t>
          </a:r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3</xdr:col>
      <xdr:colOff>628652</xdr:colOff>
      <xdr:row>8</xdr:row>
      <xdr:rowOff>104774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ño">
              <a:extLst>
                <a:ext uri="{FF2B5EF4-FFF2-40B4-BE49-F238E27FC236}">
                  <a16:creationId xmlns:a16="http://schemas.microsoft.com/office/drawing/2014/main" id="{58895E94-E7CB-50FC-A73F-D044784ED4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" y="952500"/>
              <a:ext cx="2152652" cy="6762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609600</xdr:colOff>
      <xdr:row>16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ipo">
              <a:extLst>
                <a:ext uri="{FF2B5EF4-FFF2-40B4-BE49-F238E27FC236}">
                  <a16:creationId xmlns:a16="http://schemas.microsoft.com/office/drawing/2014/main" id="{D11C822B-54FE-2199-6821-E6929A5CA1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" y="1905000"/>
              <a:ext cx="2133600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19049</xdr:colOff>
      <xdr:row>24</xdr:row>
      <xdr:rowOff>19050</xdr:rowOff>
    </xdr:from>
    <xdr:to>
      <xdr:col>3</xdr:col>
      <xdr:colOff>552450</xdr:colOff>
      <xdr:row>35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ipo 1">
              <a:extLst>
                <a:ext uri="{FF2B5EF4-FFF2-40B4-BE49-F238E27FC236}">
                  <a16:creationId xmlns:a16="http://schemas.microsoft.com/office/drawing/2014/main" id="{4E76A3B9-24B9-D3E4-351A-E84530008D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4" y="4591050"/>
              <a:ext cx="2057401" cy="20764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28574</xdr:colOff>
      <xdr:row>19</xdr:row>
      <xdr:rowOff>9526</xdr:rowOff>
    </xdr:from>
    <xdr:to>
      <xdr:col>3</xdr:col>
      <xdr:colOff>590549</xdr:colOff>
      <xdr:row>23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 1">
              <a:extLst>
                <a:ext uri="{FF2B5EF4-FFF2-40B4-BE49-F238E27FC236}">
                  <a16:creationId xmlns:a16="http://schemas.microsoft.com/office/drawing/2014/main" id="{C36CEA41-0571-8662-42C5-089A9AF5AB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499" y="3629026"/>
              <a:ext cx="2085975" cy="80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6</xdr:row>
      <xdr:rowOff>9525</xdr:rowOff>
    </xdr:from>
    <xdr:to>
      <xdr:col>21</xdr:col>
      <xdr:colOff>30956</xdr:colOff>
      <xdr:row>21</xdr:row>
      <xdr:rowOff>21431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0DBF0F-02D6-4294-A2F9-01E571415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542925</xdr:colOff>
      <xdr:row>22</xdr:row>
      <xdr:rowOff>180975</xdr:rowOff>
    </xdr:from>
    <xdr:to>
      <xdr:col>21</xdr:col>
      <xdr:colOff>0</xdr:colOff>
      <xdr:row>36</xdr:row>
      <xdr:rowOff>2571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1A387-AA22-42EC-B999-869193615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19730</xdr:rowOff>
    </xdr:from>
    <xdr:to>
      <xdr:col>6</xdr:col>
      <xdr:colOff>0</xdr:colOff>
      <xdr:row>36</xdr:row>
      <xdr:rowOff>11906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38BF5D-EC53-4291-8873-5587EAADC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409575</xdr:colOff>
      <xdr:row>22</xdr:row>
      <xdr:rowOff>180974</xdr:rowOff>
    </xdr:from>
    <xdr:to>
      <xdr:col>12</xdr:col>
      <xdr:colOff>0</xdr:colOff>
      <xdr:row>35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FEBD9B-2241-4E91-AD45-7C1A60D4F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21</xdr:col>
      <xdr:colOff>0</xdr:colOff>
      <xdr:row>4</xdr:row>
      <xdr:rowOff>171450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21D33E6-8730-2E63-46FE-BEA2F79744E6}"/>
            </a:ext>
          </a:extLst>
        </xdr:cNvPr>
        <xdr:cNvSpPr txBox="1"/>
      </xdr:nvSpPr>
      <xdr:spPr>
        <a:xfrm>
          <a:off x="781050" y="190501"/>
          <a:ext cx="15230475" cy="742949"/>
        </a:xfrm>
        <a:prstGeom prst="rect">
          <a:avLst/>
        </a:prstGeom>
        <a:solidFill>
          <a:schemeClr val="lt1"/>
        </a:solidFill>
        <a:ln w="1587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0">
              <a:solidFill>
                <a:sysClr val="windowText" lastClr="000000"/>
              </a:solidFill>
            </a:rPr>
            <a:t>Dashboard de Ratios Financieros </a:t>
          </a:r>
        </a:p>
        <a:p>
          <a:pPr algn="ctr"/>
          <a:r>
            <a:rPr lang="es-AR" sz="1600" b="0"/>
            <a:t>Rentabilidad, Liquidez, </a:t>
          </a:r>
          <a:r>
            <a:rPr lang="es-AR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Solvencia y </a:t>
          </a:r>
          <a:r>
            <a:rPr lang="es-AR" sz="1600" b="0"/>
            <a:t>Operación </a:t>
          </a:r>
          <a:endParaRPr lang="es-AR" sz="16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19050</xdr:colOff>
      <xdr:row>6</xdr:row>
      <xdr:rowOff>19050</xdr:rowOff>
    </xdr:from>
    <xdr:to>
      <xdr:col>5</xdr:col>
      <xdr:colOff>38100</xdr:colOff>
      <xdr:row>9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ño 2">
              <a:extLst>
                <a:ext uri="{FF2B5EF4-FFF2-40B4-BE49-F238E27FC236}">
                  <a16:creationId xmlns:a16="http://schemas.microsoft.com/office/drawing/2014/main" id="{1FE351BB-11EB-66C8-AB69-DAD541C2CA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050" y="1162050"/>
              <a:ext cx="3067050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257175</xdr:colOff>
      <xdr:row>5</xdr:row>
      <xdr:rowOff>190498</xdr:rowOff>
    </xdr:from>
    <xdr:to>
      <xdr:col>12</xdr:col>
      <xdr:colOff>19050</xdr:colOff>
      <xdr:row>20</xdr:row>
      <xdr:rowOff>178593</xdr:rowOff>
    </xdr:to>
    <xdr:graphicFrame macro="">
      <xdr:nvGraphicFramePr>
        <xdr:cNvPr id="8" name="ROAROETD">
          <a:extLst>
            <a:ext uri="{FF2B5EF4-FFF2-40B4-BE49-F238E27FC236}">
              <a16:creationId xmlns:a16="http://schemas.microsoft.com/office/drawing/2014/main" id="{DED98C58-6917-4FA4-B907-E4FC7CDEA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11</xdr:row>
      <xdr:rowOff>0</xdr:rowOff>
    </xdr:from>
    <xdr:to>
      <xdr:col>5</xdr:col>
      <xdr:colOff>9525</xdr:colOff>
      <xdr:row>21</xdr:row>
      <xdr:rowOff>0</xdr:rowOff>
    </xdr:to>
    <xdr:graphicFrame macro="">
      <xdr:nvGraphicFramePr>
        <xdr:cNvPr id="11" name="ROAROETD">
          <a:extLst>
            <a:ext uri="{FF2B5EF4-FFF2-40B4-BE49-F238E27FC236}">
              <a16:creationId xmlns:a16="http://schemas.microsoft.com/office/drawing/2014/main" id="{B48044C2-81B8-4B3E-B37A-758A561A2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1.475330555557" createdVersion="8" refreshedVersion="8" minRefreshableVersion="3" recordCount="3" xr:uid="{2D4A204D-3BF1-4D8A-826C-55B85E19DCB1}">
  <cacheSource type="worksheet">
    <worksheetSource name="EBITDA"/>
  </cacheSource>
  <cacheFields count="3">
    <cacheField name="Añ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ipo" numFmtId="0">
      <sharedItems count="1">
        <s v="EBITDA"/>
      </sharedItems>
    </cacheField>
    <cacheField name="Monto" numFmtId="0">
      <sharedItems containsSemiMixedTypes="0" containsString="0" containsNumber="1" containsInteger="1" minValue="343" maxValue="6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1.475330671296" createdVersion="8" refreshedVersion="8" minRefreshableVersion="3" recordCount="15" xr:uid="{A56C6D05-146A-46BC-8B75-5D214BC7E7F7}">
  <cacheSource type="worksheet">
    <worksheetSource name="Balance"/>
  </cacheSource>
  <cacheFields count="3">
    <cacheField name="Añ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ipo" numFmtId="0">
      <sharedItems count="5">
        <s v="Activos circulantes"/>
        <s v="Activos no circulantes"/>
        <s v="Pasivos circulantes"/>
        <s v="Pasivos no circulantes"/>
        <s v="Capital contable"/>
      </sharedItems>
    </cacheField>
    <cacheField name="Monto" numFmtId="0">
      <sharedItems containsSemiMixedTypes="0" containsString="0" containsNumber="1" containsInteger="1" minValue="534" maxValue="1515"/>
    </cacheField>
  </cacheFields>
  <extLst>
    <ext xmlns:x14="http://schemas.microsoft.com/office/spreadsheetml/2009/9/main" uri="{725AE2AE-9491-48be-B2B4-4EB974FC3084}">
      <x14:pivotCacheDefinition pivotCacheId="88901718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1.475331134257" createdVersion="8" refreshedVersion="8" minRefreshableVersion="3" recordCount="4" xr:uid="{02E7DFB3-1923-4650-9167-F93764D2D182}">
  <cacheSource type="worksheet">
    <worksheetSource name="Ratioop"/>
  </cacheSource>
  <cacheFields count="3"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Tipo de operación" numFmtId="0">
      <sharedItems count="2">
        <s v="Dias cuentas por cobrar"/>
        <s v="Rotación inventarios"/>
      </sharedItems>
    </cacheField>
    <cacheField name="Valor" numFmtId="2">
      <sharedItems containsSemiMixedTypes="0" containsString="0" containsNumber="1" minValue="5.8990769230769233" maxValue="71.734723854289072"/>
    </cacheField>
  </cacheFields>
  <extLst>
    <ext xmlns:x14="http://schemas.microsoft.com/office/spreadsheetml/2009/9/main" uri="{725AE2AE-9491-48be-B2B4-4EB974FC3084}">
      <x14:pivotCacheDefinition pivotCacheId="171107216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1.475331828704" createdVersion="8" refreshedVersion="8" minRefreshableVersion="3" recordCount="24" xr:uid="{9EF6A70A-56AA-4799-9B0C-F6E0ACAD3604}">
  <cacheSource type="worksheet">
    <worksheetSource name="Ratios"/>
  </cacheSource>
  <cacheFields count="3">
    <cacheField name="Añ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ipo de Ratio" numFmtId="0">
      <sharedItems count="8">
        <s v="Margen operación"/>
        <s v="Margen neto"/>
        <s v="ROA"/>
        <s v="ROE"/>
        <s v="Razón circulante "/>
        <s v="Prueba ácida"/>
        <s v="Estructura de capital"/>
        <s v="Cobertura servicio de deuda"/>
      </sharedItems>
    </cacheField>
    <cacheField name="Valor" numFmtId="0">
      <sharedItems containsSemiMixedTypes="0" containsString="0" containsNumber="1" minValue="5.383333333333333E-2" maxValue="2.6150197628458494"/>
    </cacheField>
  </cacheFields>
  <extLst>
    <ext xmlns:x14="http://schemas.microsoft.com/office/spreadsheetml/2009/9/main" uri="{725AE2AE-9491-48be-B2B4-4EB974FC3084}">
      <x14:pivotCacheDefinition pivotCacheId="120862163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1.475333449074" createdVersion="8" refreshedVersion="8" minRefreshableVersion="3" recordCount="9" xr:uid="{636B6607-F7CB-46FB-ACB9-BF36A8815DBF}">
  <cacheSource type="worksheet">
    <worksheetSource name="Estadoderesultado"/>
  </cacheSource>
  <cacheFields count="3">
    <cacheField name="Añ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ipo" numFmtId="0">
      <sharedItems count="3">
        <s v="Ingresos"/>
        <s v="Costos"/>
        <s v="Utilidad Neta"/>
      </sharedItems>
    </cacheField>
    <cacheField name="Monto" numFmtId="0">
      <sharedItems containsSemiMixedTypes="0" containsString="0" containsNumber="1" containsInteger="1" minValue="129" maxValue="3404"/>
    </cacheField>
  </cacheFields>
  <extLst>
    <ext xmlns:x14="http://schemas.microsoft.com/office/spreadsheetml/2009/9/main" uri="{725AE2AE-9491-48be-B2B4-4EB974FC3084}">
      <x14:pivotCacheDefinition pivotCacheId="9184745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343"/>
  </r>
  <r>
    <x v="1"/>
    <x v="0"/>
    <n v="476"/>
  </r>
  <r>
    <x v="2"/>
    <x v="0"/>
    <n v="6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855"/>
  </r>
  <r>
    <x v="0"/>
    <x v="1"/>
    <n v="967"/>
  </r>
  <r>
    <x v="0"/>
    <x v="2"/>
    <n v="576"/>
  </r>
  <r>
    <x v="0"/>
    <x v="3"/>
    <n v="534"/>
  </r>
  <r>
    <x v="0"/>
    <x v="4"/>
    <n v="743"/>
  </r>
  <r>
    <x v="1"/>
    <x v="0"/>
    <n v="1083"/>
  </r>
  <r>
    <x v="1"/>
    <x v="1"/>
    <n v="990"/>
  </r>
  <r>
    <x v="1"/>
    <x v="2"/>
    <n v="548"/>
  </r>
  <r>
    <x v="1"/>
    <x v="3"/>
    <n v="554"/>
  </r>
  <r>
    <x v="1"/>
    <x v="4"/>
    <n v="971"/>
  </r>
  <r>
    <x v="2"/>
    <x v="0"/>
    <n v="1515"/>
  </r>
  <r>
    <x v="2"/>
    <x v="1"/>
    <n v="950"/>
  </r>
  <r>
    <x v="2"/>
    <x v="2"/>
    <n v="640"/>
  </r>
  <r>
    <x v="2"/>
    <x v="3"/>
    <n v="540"/>
  </r>
  <r>
    <x v="2"/>
    <x v="4"/>
    <n v="12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64.189655172413794"/>
  </r>
  <r>
    <x v="0"/>
    <x v="1"/>
    <n v="7.1574468085106382"/>
  </r>
  <r>
    <x v="1"/>
    <x v="0"/>
    <n v="71.734723854289072"/>
  </r>
  <r>
    <x v="1"/>
    <x v="1"/>
    <n v="5.899076923076923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0.1"/>
  </r>
  <r>
    <x v="0"/>
    <x v="1"/>
    <n v="5.383333333333333E-2"/>
  </r>
  <r>
    <x v="0"/>
    <x v="2"/>
    <n v="6.9758652340586355E-2"/>
  </r>
  <r>
    <x v="0"/>
    <x v="3"/>
    <n v="0.174006734006734"/>
  </r>
  <r>
    <x v="0"/>
    <x v="4"/>
    <n v="1.5366319444444445"/>
  </r>
  <r>
    <x v="0"/>
    <x v="5"/>
    <n v="1.1755208333333333"/>
  </r>
  <r>
    <x v="0"/>
    <x v="6"/>
    <n v="1.4944107744107742"/>
  </r>
  <r>
    <x v="0"/>
    <x v="7"/>
    <n v="1.3943089430894309"/>
  </r>
  <r>
    <x v="1"/>
    <x v="0"/>
    <n v="0.12413793103448276"/>
  </r>
  <r>
    <x v="1"/>
    <x v="1"/>
    <n v="7.1282758620689654E-2"/>
  </r>
  <r>
    <x v="1"/>
    <x v="2"/>
    <n v="9.9753896636587361E-2"/>
  </r>
  <r>
    <x v="1"/>
    <x v="3"/>
    <n v="0.21300360638845955"/>
  </r>
  <r>
    <x v="1"/>
    <x v="4"/>
    <n v="1.975456204379562"/>
  </r>
  <r>
    <x v="1"/>
    <x v="5"/>
    <n v="1.3221715328467152"/>
  </r>
  <r>
    <x v="1"/>
    <x v="6"/>
    <n v="1.1352910870685213"/>
  </r>
  <r>
    <x v="1"/>
    <x v="7"/>
    <n v="2.1834862385321099"/>
  </r>
  <r>
    <x v="2"/>
    <x v="0"/>
    <n v="0.15940070505287893"/>
  </r>
  <r>
    <x v="2"/>
    <x v="1"/>
    <n v="9.7005875440658029E-2"/>
  </r>
  <r>
    <x v="2"/>
    <x v="2"/>
    <n v="0.13397492595447719"/>
  </r>
  <r>
    <x v="2"/>
    <x v="3"/>
    <n v="0.25703121351288233"/>
  </r>
  <r>
    <x v="2"/>
    <x v="4"/>
    <n v="2.3671093750000001"/>
  </r>
  <r>
    <x v="2"/>
    <x v="5"/>
    <n v="1.653046875"/>
  </r>
  <r>
    <x v="2"/>
    <x v="6"/>
    <n v="0.91850237409511959"/>
  </r>
  <r>
    <x v="2"/>
    <x v="7"/>
    <n v="2.615019762845849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2400"/>
  </r>
  <r>
    <x v="0"/>
    <x v="1"/>
    <n v="1440"/>
  </r>
  <r>
    <x v="0"/>
    <x v="2"/>
    <n v="129"/>
  </r>
  <r>
    <x v="1"/>
    <x v="0"/>
    <n v="2900"/>
  </r>
  <r>
    <x v="1"/>
    <x v="1"/>
    <n v="1682"/>
  </r>
  <r>
    <x v="1"/>
    <x v="2"/>
    <n v="207"/>
  </r>
  <r>
    <x v="2"/>
    <x v="0"/>
    <n v="3404"/>
  </r>
  <r>
    <x v="2"/>
    <x v="1"/>
    <n v="1917"/>
  </r>
  <r>
    <x v="2"/>
    <x v="2"/>
    <n v="3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F14FC-8BB5-4FE0-93AE-8DD09D10CF7C}" name="RatiosrentabilidadTD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66">
  <location ref="G2:I6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9">
        <item h="1" x="7"/>
        <item h="1" x="6"/>
        <item x="1"/>
        <item x="0"/>
        <item h="1" x="5"/>
        <item h="1" x="4"/>
        <item h="1" x="2"/>
        <item h="1" x="3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 v="2"/>
    </i>
    <i>
      <x v="3"/>
    </i>
  </colItems>
  <dataFields count="1">
    <dataField name="Suma de Valor" fld="2" baseField="0" baseItem="0" numFmtId="10"/>
  </dataFields>
  <formats count="1">
    <format dxfId="0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6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6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6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6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6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6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6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6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D575E-4A17-4CB0-AFAC-39E8D4BFFA11}" name="BalanceTD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39">
  <location ref="M2:P8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4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3">
    <i>
      <x/>
    </i>
    <i>
      <x v="1"/>
    </i>
    <i>
      <x v="2"/>
    </i>
  </colItems>
  <dataFields count="1">
    <dataField name="Suma de Monto" fld="2" baseField="0" baseItem="0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35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5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02939-9885-4A25-A07B-B7C839E2FD5E}" name="RatiosolvenciaTD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26">
  <location ref="G14:I1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9">
        <item x="7"/>
        <item x="6"/>
        <item h="1" x="1"/>
        <item h="1" x="0"/>
        <item h="1" x="5"/>
        <item h="1" x="4"/>
        <item h="1" x="2"/>
        <item h="1" x="3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Suma de Valor" fld="2" baseField="0" baseItem="0" numFmtId="2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F34DA-C2F1-4F03-B386-A2388196E6DC}" name="RatiooperacionTD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94">
  <location ref="G21:I24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numFmtId="2" showAll="0"/>
  </pivotFields>
  <rowFields count="1">
    <field x="0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Suma de Valor" fld="2" baseField="0" baseItem="0" numFmtId="2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9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9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9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9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9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8FDD9-3538-4A18-932B-F8D4BA4E4D31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3">
  <location ref="W2:Y7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Suma de Monto" fld="2" baseField="0" baseItem="0"/>
  </dataFields>
  <chartFormats count="10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708B4-728A-4F60-ACDB-0BF5BAE592CD}" name="RatiosliquidezTD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89">
  <location ref="G8:I12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9">
        <item h="1" x="7"/>
        <item h="1" x="6"/>
        <item h="1" x="1"/>
        <item h="1" x="0"/>
        <item x="5"/>
        <item x="4"/>
        <item h="1" x="2"/>
        <item h="1" x="3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 v="4"/>
    </i>
    <i>
      <x v="5"/>
    </i>
  </colItems>
  <dataFields count="1">
    <dataField name="Suma de Valor" fld="2" baseField="0" baseItem="0" numFmtId="2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8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8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8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8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35D2A-6578-4661-85CF-DE714BE081C4}" name="utilidadnetaTD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32">
  <location ref="A8:B12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h="1" x="1"/>
        <item h="1" x="0"/>
        <item x="2"/>
        <item t="default"/>
      </items>
    </pivotField>
    <pivotField dataField="1" numFmtId="168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1">
    <i>
      <x v="2"/>
    </i>
  </colItems>
  <dataFields count="1">
    <dataField name="Suma de Monto" fld="2" baseField="0" baseItem="0"/>
  </dataFields>
  <formats count="1">
    <format dxfId="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8F753-38DB-46F8-ADAE-F74BE07874D2}" name="ROA-ROE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G27:I31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9">
        <item h="1" x="7"/>
        <item h="1" x="6"/>
        <item h="1" x="1"/>
        <item h="1" x="0"/>
        <item h="1" x="5"/>
        <item h="1" x="4"/>
        <item x="2"/>
        <item x="3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 v="6"/>
    </i>
    <i>
      <x v="7"/>
    </i>
  </colItems>
  <dataFields count="1">
    <dataField name="Suma de Valor" fld="2" baseField="0" baseItem="0" numFmtId="10"/>
  </dataFields>
  <formats count="1">
    <format dxfId="4">
      <pivotArea outline="0" collapsedLevelsAreSubtotals="1" fieldPosition="0"/>
    </format>
  </formats>
  <chartFormats count="4"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FE9A6-3ED4-473D-9617-7D7EC5A43C85}" name="CapitalcontableTD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40">
  <location ref="R2:S6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6">
        <item h="1" x="0"/>
        <item h="1" x="1"/>
        <item x="4"/>
        <item h="1" x="2"/>
        <item h="1" x="3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1">
    <i>
      <x v="2"/>
    </i>
  </colItems>
  <dataFields count="1">
    <dataField name="Suma de Monto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3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3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3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A61D2-7D61-47D0-B129-4B06E7D8F6A3}" name="estadosderesultadosTD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03">
  <location ref="A2:D6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3">
    <i>
      <x/>
    </i>
    <i>
      <x v="1"/>
    </i>
    <i>
      <x v="2"/>
    </i>
  </colItems>
  <dataFields count="1">
    <dataField name="Promedio de Monto" fld="2" subtotal="average" baseField="0" baseItem="0"/>
  </dataFields>
  <formats count="2">
    <format dxfId="6">
      <pivotArea field="0" grandCol="1" collapsedLevelsAreSubtotals="1" axis="axisRow" fieldPosition="0">
        <references count="1">
          <reference field="0" count="0"/>
        </references>
      </pivotArea>
    </format>
    <format dxfId="5">
      <pivotArea outline="0" collapsedLevelsAreSubtotals="1" fieldPosition="0"/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0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0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0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0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0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0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0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8C1F1056-865E-4438-B78E-DCBC9808235D}" sourceName="Año">
  <pivotTables>
    <pivotTable tabId="13" name="estadosderesultadosTD"/>
  </pivotTables>
  <data>
    <tabular pivotCacheId="91847455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A4F825B3-AC59-4C26-A1B5-93A52A44B597}" sourceName="Tipo">
  <pivotTables>
    <pivotTable tabId="13" name="estadosderesultadosTD"/>
  </pivotTables>
  <data>
    <tabular pivotCacheId="918474558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3E37C85C-B324-4479-B108-011EE2DE067E}" sourceName="Tipo">
  <pivotTables>
    <pivotTable tabId="13" name="BalanceTD"/>
  </pivotTables>
  <data>
    <tabular pivotCacheId="889017185">
      <items count="5">
        <i x="0" s="1"/>
        <i x="1" s="1"/>
        <i x="4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C4DAC09F-9DF1-418D-8114-69370FCCB2BC}" sourceName="Año">
  <pivotTables>
    <pivotTable tabId="13" name="BalanceTD"/>
  </pivotTables>
  <data>
    <tabular pivotCacheId="889017185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2" xr10:uid="{4063B83D-8748-49DC-B05C-517E23370DF6}" sourceName="Año">
  <pivotTables>
    <pivotTable tabId="13" name="RatiosrentabilidadTD"/>
    <pivotTable tabId="13" name="RatiosliquidezTD"/>
    <pivotTable tabId="13" name="RatiosolvenciaTD"/>
    <pivotTable tabId="13" name="ROA-ROE"/>
  </pivotTables>
  <data>
    <tabular pivotCacheId="120862163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6698F1A9-01B5-4DB6-B57F-FDC4BA4FC225}" cache="SegmentaciónDeDatos_Año" caption="Estado de resultado Años" columnCount="3" rowHeight="241300"/>
  <slicer name="Tipo" xr10:uid="{F657E66C-0D6D-47A9-830D-03ABC973E5BF}" cache="SegmentaciónDeDatos_Tipo" caption="Estado de resultados" rowHeight="241300"/>
  <slicer name="Tipo 1" xr10:uid="{DDE71A3A-2A0E-4305-8762-12958D6BCF6C}" cache="SegmentaciónDeDatos_Tipo1" caption="Balance" rowHeight="241300"/>
  <slicer name="Año 1" xr10:uid="{2E65C332-F204-41FE-9EAC-4D3660134D5F}" cache="SegmentaciónDeDatos_Año1" caption="Balance Años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" xr10:uid="{48789E02-F5B2-4BFA-B0C1-D1BA06E590D2}" cache="SegmentaciónDeDatos_Año2" caption="Año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35FFF-6906-4105-A0A8-35D2B6968253}" name="Estadoderesultado" displayName="Estadoderesultado" ref="B2:D11" totalsRowShown="0" headerRowDxfId="23">
  <autoFilter ref="B2:D11" xr:uid="{A2A35FFF-6906-4105-A0A8-35D2B6968253}"/>
  <tableColumns count="3">
    <tableColumn id="1" xr3:uid="{C07ACB98-17EC-4414-A1CF-FEA578E1C07D}" name="Año" dataDxfId="22"/>
    <tableColumn id="2" xr3:uid="{9B86441A-4082-4518-8207-D643002DB22B}" name="Tipo"/>
    <tableColumn id="3" xr3:uid="{79317584-772C-46CD-90D3-203128989B2B}" name="Monto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A7B5F-8E68-4ACC-A9A4-555F0AABA1CE}" name="Ratios" displayName="Ratios" ref="F2:H26" totalsRowShown="0" headerRowDxfId="20">
  <autoFilter ref="F2:H26" xr:uid="{2D1A7B5F-8E68-4ACC-A9A4-555F0AABA1CE}"/>
  <tableColumns count="3">
    <tableColumn id="1" xr3:uid="{37852556-99AA-4F5F-AD27-612321CE91EC}" name="Año" dataDxfId="19"/>
    <tableColumn id="2" xr3:uid="{864C24D8-3F35-4B9F-B640-EAB7EE1711B8}" name="Tipo de Ratio" dataDxfId="18"/>
    <tableColumn id="3" xr3:uid="{6876875E-1E73-4045-B22B-236EFEE5713A}" name="Valor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1E1B0-391C-49F7-A631-94C8F79C9CDB}" name="Ratioop" displayName="Ratioop" ref="J2:L6" totalsRowShown="0" headerRowDxfId="16" tableBorderDxfId="15">
  <autoFilter ref="J2:L6" xr:uid="{9411E1B0-391C-49F7-A631-94C8F79C9CDB}"/>
  <tableColumns count="3">
    <tableColumn id="1" xr3:uid="{9C5E0F72-0FFF-4062-883C-A601D8B3A164}" name="Año" dataDxfId="14"/>
    <tableColumn id="2" xr3:uid="{E4F368F1-1D68-4636-89D1-C8D5992B8BA3}" name="Tipo de operación" dataDxfId="13"/>
    <tableColumn id="3" xr3:uid="{BC9888D4-B8B1-42D6-A661-4615ECE7CDC0}" name="Valor" dataDxfId="1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22618C-B0D6-4ADA-A0A2-A1CD48A54C80}" name="Balance" displayName="Balance" ref="N2:P17" totalsRowShown="0" headerRowDxfId="11" tableBorderDxfId="10">
  <autoFilter ref="N2:P17" xr:uid="{E222618C-B0D6-4ADA-A0A2-A1CD48A54C80}"/>
  <tableColumns count="3">
    <tableColumn id="1" xr3:uid="{51FF6D1C-B6B5-4AB6-9117-CF9F9BFC06E6}" name="Año" dataDxfId="9"/>
    <tableColumn id="2" xr3:uid="{6F954501-9BD4-48E0-87FC-E1B9222A6574}" name="Tipo"/>
    <tableColumn id="3" xr3:uid="{CFDB3F3B-9AA8-46A0-945C-C714996C5704}" name="Mont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3B0182-A57D-4F29-AB06-4CA7C1698F81}" name="EBITDA" displayName="EBITDA" ref="R2:T5" totalsRowShown="0" headerRowDxfId="8" tableBorderDxfId="7">
  <autoFilter ref="R2:T5" xr:uid="{B93B0182-A57D-4F29-AB06-4CA7C1698F81}"/>
  <tableColumns count="3">
    <tableColumn id="1" xr3:uid="{240A3241-E263-4D5B-9BEC-3B8B63F72894}" name="Año"/>
    <tableColumn id="2" xr3:uid="{D00F5ACB-AE7C-4726-A70E-D042B3DB0A95}" name="Tipo"/>
    <tableColumn id="3" xr3:uid="{604EFF32-B3C1-43E5-A480-89CC2F1AE975}" name="Mo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546A"/>
      </a:accent1>
      <a:accent2>
        <a:srgbClr val="F4B183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1"/>
  <sheetViews>
    <sheetView showGridLines="0" zoomScaleNormal="100" workbookViewId="0">
      <selection activeCell="B2" sqref="B2:E2"/>
    </sheetView>
  </sheetViews>
  <sheetFormatPr baseColWidth="10" defaultColWidth="9.140625" defaultRowHeight="14.25" outlineLevelRow="1" x14ac:dyDescent="0.25"/>
  <cols>
    <col min="1" max="1" width="4.7109375" style="5" customWidth="1"/>
    <col min="2" max="2" width="37.28515625" style="5" customWidth="1"/>
    <col min="3" max="3" width="6.7109375" style="40" bestFit="1" customWidth="1"/>
    <col min="4" max="5" width="6.140625" style="40" bestFit="1" customWidth="1"/>
    <col min="6" max="6" width="5" style="5" customWidth="1"/>
    <col min="7" max="7" width="25.85546875" style="5" bestFit="1" customWidth="1"/>
    <col min="8" max="8" width="6.7109375" style="5" bestFit="1" customWidth="1"/>
    <col min="9" max="9" width="11.85546875" style="5" bestFit="1" customWidth="1"/>
    <col min="10" max="10" width="6.140625" style="5" bestFit="1" customWidth="1"/>
    <col min="11" max="16384" width="9.140625" style="5"/>
  </cols>
  <sheetData>
    <row r="2" spans="2:9" x14ac:dyDescent="0.25">
      <c r="B2" s="151" t="s">
        <v>234</v>
      </c>
      <c r="C2" s="151"/>
      <c r="D2" s="151"/>
      <c r="E2" s="151"/>
    </row>
    <row r="3" spans="2:9" x14ac:dyDescent="0.25">
      <c r="B3" s="26" t="s">
        <v>60</v>
      </c>
      <c r="C3" s="35"/>
      <c r="D3" s="35"/>
      <c r="E3" s="35"/>
      <c r="G3" s="26" t="s">
        <v>71</v>
      </c>
      <c r="H3" s="26"/>
      <c r="I3" s="26"/>
    </row>
    <row r="4" spans="2:9" x14ac:dyDescent="0.25">
      <c r="B4" s="25" t="s">
        <v>109</v>
      </c>
      <c r="G4" s="20" t="s">
        <v>82</v>
      </c>
      <c r="H4" s="20" t="s">
        <v>75</v>
      </c>
      <c r="I4" s="20" t="s">
        <v>86</v>
      </c>
    </row>
    <row r="5" spans="2:9" x14ac:dyDescent="0.25">
      <c r="B5" s="25"/>
      <c r="G5" s="21" t="s">
        <v>83</v>
      </c>
      <c r="H5" s="17" t="s">
        <v>72</v>
      </c>
      <c r="I5" s="17" t="s">
        <v>87</v>
      </c>
    </row>
    <row r="6" spans="2:9" x14ac:dyDescent="0.25">
      <c r="B6" s="24" t="s">
        <v>108</v>
      </c>
      <c r="G6" s="21" t="s">
        <v>84</v>
      </c>
      <c r="H6" s="18" t="s">
        <v>73</v>
      </c>
      <c r="I6" s="18" t="s">
        <v>88</v>
      </c>
    </row>
    <row r="7" spans="2:9" x14ac:dyDescent="0.25">
      <c r="B7" s="10"/>
      <c r="G7" s="19" t="s">
        <v>85</v>
      </c>
      <c r="H7" s="19" t="s">
        <v>74</v>
      </c>
      <c r="I7" s="19" t="s">
        <v>89</v>
      </c>
    </row>
    <row r="8" spans="2:9" s="10" customFormat="1" x14ac:dyDescent="0.25">
      <c r="B8" s="1" t="s">
        <v>90</v>
      </c>
      <c r="C8" s="41"/>
      <c r="D8" s="41"/>
      <c r="E8" s="41"/>
    </row>
    <row r="9" spans="2:9" outlineLevel="1" x14ac:dyDescent="0.25">
      <c r="B9" s="149" t="s">
        <v>44</v>
      </c>
      <c r="C9" s="150" t="s">
        <v>5</v>
      </c>
      <c r="D9" s="150" t="s">
        <v>6</v>
      </c>
      <c r="E9" s="150" t="s">
        <v>7</v>
      </c>
    </row>
    <row r="10" spans="2:9" outlineLevel="1" x14ac:dyDescent="0.25">
      <c r="B10" s="3" t="s">
        <v>0</v>
      </c>
      <c r="C10" s="42">
        <v>2400</v>
      </c>
      <c r="D10" s="42">
        <v>2900</v>
      </c>
      <c r="E10" s="42">
        <v>3404</v>
      </c>
    </row>
    <row r="11" spans="2:9" x14ac:dyDescent="0.25">
      <c r="B11" s="6"/>
      <c r="C11" s="43"/>
      <c r="D11" s="43"/>
      <c r="E11" s="43"/>
    </row>
    <row r="12" spans="2:9" x14ac:dyDescent="0.25">
      <c r="B12" s="1" t="s">
        <v>91</v>
      </c>
      <c r="C12" s="41"/>
      <c r="D12" s="41"/>
      <c r="E12" s="41"/>
    </row>
    <row r="13" spans="2:9" outlineLevel="1" x14ac:dyDescent="0.25">
      <c r="B13" s="149" t="s">
        <v>43</v>
      </c>
      <c r="C13" s="150" t="s">
        <v>5</v>
      </c>
      <c r="D13" s="150" t="s">
        <v>6</v>
      </c>
      <c r="E13" s="150" t="s">
        <v>7</v>
      </c>
      <c r="F13" s="9"/>
    </row>
    <row r="14" spans="2:9" outlineLevel="1" x14ac:dyDescent="0.25">
      <c r="B14" s="3" t="s">
        <v>45</v>
      </c>
      <c r="C14" s="42">
        <v>1000</v>
      </c>
      <c r="D14" s="42">
        <v>1200</v>
      </c>
      <c r="E14" s="42">
        <v>1217.2</v>
      </c>
      <c r="F14" s="9"/>
    </row>
    <row r="15" spans="2:9" outlineLevel="1" x14ac:dyDescent="0.25">
      <c r="B15" s="3" t="s">
        <v>46</v>
      </c>
      <c r="C15" s="42">
        <v>440</v>
      </c>
      <c r="D15" s="42">
        <v>482</v>
      </c>
      <c r="E15" s="42">
        <v>700</v>
      </c>
    </row>
    <row r="16" spans="2:9" outlineLevel="1" x14ac:dyDescent="0.25">
      <c r="B16" s="11" t="s">
        <v>35</v>
      </c>
      <c r="C16" s="44">
        <f>+SUM(C14:C15)</f>
        <v>1440</v>
      </c>
      <c r="D16" s="44">
        <f t="shared" ref="D16:E16" si="0">+SUM(D14:D15)</f>
        <v>1682</v>
      </c>
      <c r="E16" s="44">
        <f t="shared" si="0"/>
        <v>1917.2</v>
      </c>
    </row>
    <row r="17" spans="2:5" x14ac:dyDescent="0.25">
      <c r="B17" s="6"/>
      <c r="C17" s="45"/>
      <c r="D17" s="45"/>
      <c r="E17" s="45"/>
    </row>
    <row r="18" spans="2:5" x14ac:dyDescent="0.25">
      <c r="B18" s="1" t="s">
        <v>92</v>
      </c>
      <c r="C18" s="41"/>
      <c r="D18" s="41"/>
      <c r="E18" s="41"/>
    </row>
    <row r="19" spans="2:5" outlineLevel="1" x14ac:dyDescent="0.25">
      <c r="B19" s="149" t="s">
        <v>1</v>
      </c>
      <c r="C19" s="150" t="s">
        <v>5</v>
      </c>
      <c r="D19" s="150" t="s">
        <v>6</v>
      </c>
      <c r="E19" s="150" t="s">
        <v>7</v>
      </c>
    </row>
    <row r="20" spans="2:5" outlineLevel="1" x14ac:dyDescent="0.25">
      <c r="B20" s="3" t="s">
        <v>2</v>
      </c>
      <c r="C20" s="42">
        <v>316</v>
      </c>
      <c r="D20" s="42">
        <v>361</v>
      </c>
      <c r="E20" s="42">
        <v>397.36</v>
      </c>
    </row>
    <row r="21" spans="2:5" outlineLevel="1" x14ac:dyDescent="0.25">
      <c r="B21" s="3" t="s">
        <v>42</v>
      </c>
      <c r="C21" s="42">
        <v>301</v>
      </c>
      <c r="D21" s="42">
        <v>381</v>
      </c>
      <c r="E21" s="42">
        <v>427.84</v>
      </c>
    </row>
    <row r="22" spans="2:5" outlineLevel="1" x14ac:dyDescent="0.25">
      <c r="B22" s="3" t="s">
        <v>47</v>
      </c>
      <c r="C22" s="36">
        <f>+C76</f>
        <v>80</v>
      </c>
      <c r="D22" s="36">
        <f t="shared" ref="D22:E22" si="1">+D76</f>
        <v>91</v>
      </c>
      <c r="E22" s="36">
        <f t="shared" si="1"/>
        <v>93</v>
      </c>
    </row>
    <row r="23" spans="2:5" outlineLevel="1" x14ac:dyDescent="0.25">
      <c r="B23" s="3" t="s">
        <v>48</v>
      </c>
      <c r="C23" s="36">
        <f>+C92</f>
        <v>23</v>
      </c>
      <c r="D23" s="36">
        <f t="shared" ref="D23:E23" si="2">+D92</f>
        <v>25</v>
      </c>
      <c r="E23" s="36">
        <f t="shared" si="2"/>
        <v>26</v>
      </c>
    </row>
    <row r="24" spans="2:5" ht="13.5" customHeight="1" outlineLevel="1" x14ac:dyDescent="0.25">
      <c r="B24" s="11" t="s">
        <v>1</v>
      </c>
      <c r="C24" s="44">
        <f>+SUM(C20:C23)</f>
        <v>720</v>
      </c>
      <c r="D24" s="44">
        <f t="shared" ref="D24:E24" si="3">+SUM(D20:D23)</f>
        <v>858</v>
      </c>
      <c r="E24" s="44">
        <f t="shared" si="3"/>
        <v>944.2</v>
      </c>
    </row>
    <row r="25" spans="2:5" x14ac:dyDescent="0.25">
      <c r="B25" s="6"/>
      <c r="C25" s="45"/>
      <c r="D25" s="45"/>
      <c r="E25" s="45"/>
    </row>
    <row r="26" spans="2:5" x14ac:dyDescent="0.25">
      <c r="B26" s="1" t="s">
        <v>93</v>
      </c>
      <c r="C26" s="41"/>
      <c r="D26" s="41"/>
      <c r="E26" s="41"/>
    </row>
    <row r="27" spans="2:5" outlineLevel="1" x14ac:dyDescent="0.25">
      <c r="B27" s="149" t="s">
        <v>49</v>
      </c>
      <c r="C27" s="150" t="s">
        <v>5</v>
      </c>
      <c r="D27" s="150" t="s">
        <v>6</v>
      </c>
      <c r="E27" s="150" t="s">
        <v>7</v>
      </c>
    </row>
    <row r="28" spans="2:5" outlineLevel="1" x14ac:dyDescent="0.25">
      <c r="B28" s="3" t="s">
        <v>3</v>
      </c>
      <c r="C28" s="46">
        <v>4</v>
      </c>
      <c r="D28" s="46">
        <v>8</v>
      </c>
      <c r="E28" s="46">
        <v>4</v>
      </c>
    </row>
    <row r="29" spans="2:5" outlineLevel="1" x14ac:dyDescent="0.25">
      <c r="B29" s="3" t="s">
        <v>4</v>
      </c>
      <c r="C29" s="46">
        <v>4</v>
      </c>
      <c r="D29" s="46">
        <v>4</v>
      </c>
      <c r="E29" s="46">
        <v>6</v>
      </c>
    </row>
    <row r="30" spans="2:5" x14ac:dyDescent="0.25">
      <c r="B30" s="6"/>
      <c r="C30" s="45"/>
      <c r="D30" s="45"/>
      <c r="E30" s="45"/>
    </row>
    <row r="31" spans="2:5" x14ac:dyDescent="0.25">
      <c r="B31" s="1" t="s">
        <v>94</v>
      </c>
      <c r="C31" s="41"/>
      <c r="D31" s="41"/>
      <c r="E31" s="41"/>
    </row>
    <row r="32" spans="2:5" outlineLevel="1" x14ac:dyDescent="0.25">
      <c r="B32" s="149" t="s">
        <v>69</v>
      </c>
      <c r="C32" s="150" t="s">
        <v>5</v>
      </c>
      <c r="D32" s="150" t="s">
        <v>6</v>
      </c>
      <c r="E32" s="150" t="s">
        <v>7</v>
      </c>
    </row>
    <row r="33" spans="2:7" outlineLevel="1" x14ac:dyDescent="0.25">
      <c r="B33" s="3" t="s">
        <v>62</v>
      </c>
      <c r="C33" s="47">
        <v>0.25</v>
      </c>
      <c r="D33" s="47">
        <v>0.25</v>
      </c>
      <c r="E33" s="47">
        <v>0.25</v>
      </c>
    </row>
    <row r="34" spans="2:7" outlineLevel="1" x14ac:dyDescent="0.25">
      <c r="B34" s="3" t="s">
        <v>64</v>
      </c>
      <c r="C34" s="47">
        <v>7.0000000000000007E-2</v>
      </c>
      <c r="D34" s="47">
        <v>7.0000000000000007E-2</v>
      </c>
      <c r="E34" s="47">
        <v>7.0000000000000007E-2</v>
      </c>
    </row>
    <row r="35" spans="2:7" ht="33" customHeight="1" outlineLevel="1" x14ac:dyDescent="0.25">
      <c r="B35" s="57" t="s">
        <v>63</v>
      </c>
    </row>
    <row r="36" spans="2:7" x14ac:dyDescent="0.25">
      <c r="B36" s="6"/>
      <c r="C36" s="45"/>
      <c r="D36" s="45"/>
      <c r="E36" s="45"/>
    </row>
    <row r="37" spans="2:7" x14ac:dyDescent="0.25">
      <c r="B37" s="24" t="s">
        <v>107</v>
      </c>
    </row>
    <row r="38" spans="2:7" x14ac:dyDescent="0.25">
      <c r="B38" s="22"/>
    </row>
    <row r="39" spans="2:7" x14ac:dyDescent="0.25">
      <c r="B39" s="1" t="s">
        <v>95</v>
      </c>
      <c r="C39" s="41"/>
      <c r="D39" s="41"/>
      <c r="E39" s="41"/>
    </row>
    <row r="40" spans="2:7" outlineLevel="1" x14ac:dyDescent="0.25">
      <c r="B40" s="149" t="s">
        <v>17</v>
      </c>
      <c r="C40" s="150" t="s">
        <v>5</v>
      </c>
      <c r="D40" s="150" t="s">
        <v>6</v>
      </c>
      <c r="E40" s="150" t="s">
        <v>7</v>
      </c>
    </row>
    <row r="41" spans="2:7" outlineLevel="1" x14ac:dyDescent="0.25">
      <c r="B41" s="3" t="s">
        <v>56</v>
      </c>
      <c r="C41" s="42">
        <v>125.1</v>
      </c>
      <c r="D41" s="42">
        <v>81.55</v>
      </c>
      <c r="E41" s="42">
        <v>143.69999999999999</v>
      </c>
    </row>
    <row r="42" spans="2:7" outlineLevel="1" x14ac:dyDescent="0.25">
      <c r="B42" s="3" t="s">
        <v>221</v>
      </c>
      <c r="C42" s="42">
        <v>122</v>
      </c>
      <c r="D42" s="42">
        <v>53</v>
      </c>
      <c r="E42" s="42">
        <v>166.25</v>
      </c>
    </row>
    <row r="43" spans="2:7" outlineLevel="1" x14ac:dyDescent="0.25">
      <c r="B43" s="11" t="s">
        <v>17</v>
      </c>
      <c r="C43" s="44">
        <f>+SUM(C41:C42)</f>
        <v>247.1</v>
      </c>
      <c r="D43" s="44">
        <f t="shared" ref="D43:E43" si="4">+SUM(D41:D42)</f>
        <v>134.55000000000001</v>
      </c>
      <c r="E43" s="44">
        <f t="shared" si="4"/>
        <v>309.95</v>
      </c>
    </row>
    <row r="44" spans="2:7" x14ac:dyDescent="0.25">
      <c r="B44" s="8"/>
      <c r="C44" s="45"/>
      <c r="D44" s="45"/>
      <c r="E44" s="45"/>
    </row>
    <row r="45" spans="2:7" x14ac:dyDescent="0.25">
      <c r="B45" s="1" t="s">
        <v>96</v>
      </c>
      <c r="C45" s="41"/>
      <c r="D45" s="41"/>
      <c r="E45" s="41"/>
    </row>
    <row r="46" spans="2:7" outlineLevel="1" x14ac:dyDescent="0.25">
      <c r="B46" s="149" t="s">
        <v>8</v>
      </c>
      <c r="C46" s="150" t="s">
        <v>5</v>
      </c>
      <c r="D46" s="150" t="s">
        <v>6</v>
      </c>
      <c r="E46" s="150" t="s">
        <v>7</v>
      </c>
    </row>
    <row r="47" spans="2:7" outlineLevel="1" x14ac:dyDescent="0.25">
      <c r="B47" s="3" t="s">
        <v>50</v>
      </c>
      <c r="C47" s="42">
        <v>480</v>
      </c>
      <c r="D47" s="42">
        <v>650</v>
      </c>
      <c r="E47" s="42">
        <v>820</v>
      </c>
      <c r="G47" s="118">
        <f>C48/C47</f>
        <v>-0.10416666666666667</v>
      </c>
    </row>
    <row r="48" spans="2:7" outlineLevel="1" x14ac:dyDescent="0.25">
      <c r="B48" s="3" t="s">
        <v>51</v>
      </c>
      <c r="C48" s="42">
        <v>-50</v>
      </c>
      <c r="D48" s="42">
        <v>-60</v>
      </c>
      <c r="E48" s="42">
        <v>-72</v>
      </c>
    </row>
    <row r="49" spans="2:10" outlineLevel="1" x14ac:dyDescent="0.25">
      <c r="B49" s="2" t="s">
        <v>52</v>
      </c>
      <c r="C49" s="48">
        <f>+SUM(C47:C48)</f>
        <v>430</v>
      </c>
      <c r="D49" s="48">
        <f t="shared" ref="D49" si="5">+SUM(D47:D48)</f>
        <v>590</v>
      </c>
      <c r="E49" s="48">
        <f t="shared" ref="E49" si="6">+SUM(E47:E48)</f>
        <v>748</v>
      </c>
      <c r="G49" s="105" t="s">
        <v>218</v>
      </c>
      <c r="H49" s="106" t="s">
        <v>5</v>
      </c>
      <c r="I49" s="106" t="s">
        <v>6</v>
      </c>
      <c r="J49" s="106" t="s">
        <v>7</v>
      </c>
    </row>
    <row r="50" spans="2:10" outlineLevel="1" x14ac:dyDescent="0.25">
      <c r="B50" s="3" t="s">
        <v>65</v>
      </c>
      <c r="C50" s="49">
        <f>+C49*60%</f>
        <v>258</v>
      </c>
      <c r="D50" s="49">
        <f t="shared" ref="D50:E50" si="7">+D49*60%</f>
        <v>354</v>
      </c>
      <c r="E50" s="49">
        <f t="shared" si="7"/>
        <v>448.8</v>
      </c>
      <c r="G50" s="3" t="s">
        <v>65</v>
      </c>
      <c r="H50" s="107">
        <f>+C50/C$49</f>
        <v>0.6</v>
      </c>
      <c r="I50" s="107">
        <f t="shared" ref="I50:I54" si="8">+D50/D$49</f>
        <v>0.6</v>
      </c>
      <c r="J50" s="107">
        <f t="shared" ref="J50:J54" si="9">+E50/E$49</f>
        <v>0.6</v>
      </c>
    </row>
    <row r="51" spans="2:10" outlineLevel="1" x14ac:dyDescent="0.25">
      <c r="B51" s="3" t="s">
        <v>70</v>
      </c>
      <c r="C51" s="49">
        <f>+C49*25%</f>
        <v>107.5</v>
      </c>
      <c r="D51" s="49">
        <f t="shared" ref="D51:E51" si="10">+D49*25%</f>
        <v>147.5</v>
      </c>
      <c r="E51" s="49">
        <f t="shared" si="10"/>
        <v>187</v>
      </c>
      <c r="G51" s="3" t="s">
        <v>70</v>
      </c>
      <c r="H51" s="107">
        <f t="shared" ref="H51:H54" si="11">+C51/C$49</f>
        <v>0.25</v>
      </c>
      <c r="I51" s="107">
        <f t="shared" si="8"/>
        <v>0.25</v>
      </c>
      <c r="J51" s="107">
        <f t="shared" si="9"/>
        <v>0.25</v>
      </c>
    </row>
    <row r="52" spans="2:10" outlineLevel="1" x14ac:dyDescent="0.25">
      <c r="B52" s="3" t="s">
        <v>66</v>
      </c>
      <c r="C52" s="49">
        <f>+C49*10%</f>
        <v>43</v>
      </c>
      <c r="D52" s="49">
        <f t="shared" ref="D52:E52" si="12">+D49*10%</f>
        <v>59</v>
      </c>
      <c r="E52" s="49">
        <f t="shared" si="12"/>
        <v>74.8</v>
      </c>
      <c r="G52" s="3" t="s">
        <v>66</v>
      </c>
      <c r="H52" s="107">
        <f t="shared" si="11"/>
        <v>0.1</v>
      </c>
      <c r="I52" s="107">
        <f t="shared" si="8"/>
        <v>0.1</v>
      </c>
      <c r="J52" s="107">
        <f t="shared" si="9"/>
        <v>9.9999999999999992E-2</v>
      </c>
    </row>
    <row r="53" spans="2:10" outlineLevel="1" x14ac:dyDescent="0.25">
      <c r="B53" s="3" t="s">
        <v>67</v>
      </c>
      <c r="C53" s="49">
        <f>+C49*5%</f>
        <v>21.5</v>
      </c>
      <c r="D53" s="49">
        <f t="shared" ref="D53:E53" si="13">+D49*5%</f>
        <v>29.5</v>
      </c>
      <c r="E53" s="49">
        <f t="shared" si="13"/>
        <v>37.4</v>
      </c>
      <c r="G53" s="3" t="s">
        <v>67</v>
      </c>
      <c r="H53" s="107">
        <f t="shared" si="11"/>
        <v>0.05</v>
      </c>
      <c r="I53" s="107">
        <f t="shared" si="8"/>
        <v>0.05</v>
      </c>
      <c r="J53" s="107">
        <f t="shared" si="9"/>
        <v>4.9999999999999996E-2</v>
      </c>
    </row>
    <row r="54" spans="2:10" outlineLevel="1" x14ac:dyDescent="0.25">
      <c r="B54" s="3" t="s">
        <v>68</v>
      </c>
      <c r="C54" s="50">
        <v>0</v>
      </c>
      <c r="D54" s="50">
        <v>0</v>
      </c>
      <c r="E54" s="50">
        <v>0</v>
      </c>
      <c r="G54" s="3" t="s">
        <v>68</v>
      </c>
      <c r="H54" s="107">
        <f t="shared" si="11"/>
        <v>0</v>
      </c>
      <c r="I54" s="107">
        <f t="shared" si="8"/>
        <v>0</v>
      </c>
      <c r="J54" s="107">
        <f t="shared" si="9"/>
        <v>0</v>
      </c>
    </row>
    <row r="55" spans="2:10" x14ac:dyDescent="0.25">
      <c r="B55" s="8"/>
      <c r="C55" s="51"/>
      <c r="D55" s="51"/>
      <c r="E55" s="51"/>
      <c r="H55" s="107"/>
      <c r="I55" s="107"/>
      <c r="J55" s="107"/>
    </row>
    <row r="56" spans="2:10" x14ac:dyDescent="0.25">
      <c r="B56" s="1" t="s">
        <v>97</v>
      </c>
      <c r="C56" s="41"/>
      <c r="D56" s="41"/>
      <c r="E56" s="41"/>
    </row>
    <row r="57" spans="2:10" outlineLevel="1" x14ac:dyDescent="0.25">
      <c r="B57" s="149" t="s">
        <v>9</v>
      </c>
      <c r="C57" s="150" t="s">
        <v>5</v>
      </c>
      <c r="D57" s="150" t="s">
        <v>6</v>
      </c>
      <c r="E57" s="150" t="s">
        <v>7</v>
      </c>
    </row>
    <row r="58" spans="2:10" outlineLevel="1" x14ac:dyDescent="0.25">
      <c r="B58" s="3" t="s">
        <v>55</v>
      </c>
      <c r="C58" s="42">
        <v>190</v>
      </c>
      <c r="D58" s="42">
        <v>340</v>
      </c>
      <c r="E58" s="42">
        <v>400</v>
      </c>
    </row>
    <row r="59" spans="2:10" outlineLevel="1" x14ac:dyDescent="0.25">
      <c r="B59" s="3" t="s">
        <v>53</v>
      </c>
      <c r="C59" s="42">
        <v>-20</v>
      </c>
      <c r="D59" s="42">
        <v>-40</v>
      </c>
      <c r="E59" s="42">
        <v>-50</v>
      </c>
    </row>
    <row r="60" spans="2:10" outlineLevel="1" x14ac:dyDescent="0.25">
      <c r="B60" s="11" t="s">
        <v>54</v>
      </c>
      <c r="C60" s="52">
        <f>+SUM(C58:C59)</f>
        <v>170</v>
      </c>
      <c r="D60" s="52">
        <f t="shared" ref="D60" si="14">+SUM(D58:D59)</f>
        <v>300</v>
      </c>
      <c r="E60" s="52">
        <f t="shared" ref="E60" si="15">+SUM(E58:E59)</f>
        <v>350</v>
      </c>
    </row>
    <row r="61" spans="2:10" x14ac:dyDescent="0.25">
      <c r="B61" s="8"/>
      <c r="C61" s="51"/>
      <c r="D61" s="51"/>
      <c r="E61" s="51"/>
    </row>
    <row r="62" spans="2:10" x14ac:dyDescent="0.25">
      <c r="B62" s="1" t="s">
        <v>103</v>
      </c>
      <c r="C62" s="41"/>
      <c r="D62" s="41"/>
      <c r="E62" s="41"/>
    </row>
    <row r="63" spans="2:10" outlineLevel="1" x14ac:dyDescent="0.25">
      <c r="B63" s="149" t="s">
        <v>57</v>
      </c>
      <c r="C63" s="150" t="s">
        <v>5</v>
      </c>
      <c r="D63" s="150" t="s">
        <v>6</v>
      </c>
      <c r="E63" s="150" t="s">
        <v>7</v>
      </c>
    </row>
    <row r="64" spans="2:10" outlineLevel="1" x14ac:dyDescent="0.25">
      <c r="B64" s="3" t="s">
        <v>11</v>
      </c>
      <c r="C64" s="42">
        <v>38</v>
      </c>
      <c r="D64" s="42">
        <v>58</v>
      </c>
      <c r="E64" s="42">
        <v>107</v>
      </c>
    </row>
    <row r="65" spans="2:7" outlineLevel="1" x14ac:dyDescent="0.25">
      <c r="B65" s="3" t="s">
        <v>10</v>
      </c>
      <c r="C65" s="42">
        <v>40</v>
      </c>
      <c r="D65" s="42">
        <v>48.75</v>
      </c>
      <c r="E65" s="42">
        <v>97.75</v>
      </c>
    </row>
    <row r="66" spans="2:7" ht="14.25" customHeight="1" x14ac:dyDescent="0.25">
      <c r="B66" s="6"/>
      <c r="C66" s="45"/>
      <c r="D66" s="45"/>
      <c r="E66" s="45"/>
    </row>
    <row r="67" spans="2:7" x14ac:dyDescent="0.25">
      <c r="B67" s="1" t="s">
        <v>98</v>
      </c>
      <c r="C67" s="41"/>
      <c r="D67" s="41"/>
      <c r="E67" s="41"/>
      <c r="G67" s="13" t="s">
        <v>126</v>
      </c>
    </row>
    <row r="68" spans="2:7" outlineLevel="1" x14ac:dyDescent="0.25">
      <c r="B68" s="149" t="s">
        <v>34</v>
      </c>
      <c r="C68" s="150" t="s">
        <v>5</v>
      </c>
      <c r="D68" s="150" t="s">
        <v>6</v>
      </c>
      <c r="E68" s="150" t="s">
        <v>7</v>
      </c>
      <c r="G68" s="14">
        <v>10</v>
      </c>
    </row>
    <row r="69" spans="2:7" outlineLevel="1" x14ac:dyDescent="0.25">
      <c r="B69" s="3" t="s">
        <v>76</v>
      </c>
      <c r="C69" s="42">
        <v>800</v>
      </c>
      <c r="D69" s="42">
        <v>800</v>
      </c>
      <c r="E69" s="42">
        <v>800</v>
      </c>
      <c r="G69" s="14">
        <v>10</v>
      </c>
    </row>
    <row r="70" spans="2:7" outlineLevel="1" x14ac:dyDescent="0.25">
      <c r="B70" s="3" t="s">
        <v>77</v>
      </c>
      <c r="C70" s="42">
        <v>0</v>
      </c>
      <c r="D70" s="42">
        <v>110</v>
      </c>
      <c r="E70" s="42">
        <v>110</v>
      </c>
      <c r="G70" s="15">
        <v>10</v>
      </c>
    </row>
    <row r="71" spans="2:7" outlineLevel="1" x14ac:dyDescent="0.25">
      <c r="B71" s="3" t="s">
        <v>78</v>
      </c>
      <c r="C71" s="42">
        <v>0</v>
      </c>
      <c r="D71" s="42">
        <v>0</v>
      </c>
      <c r="E71" s="42">
        <v>20</v>
      </c>
      <c r="G71" s="12"/>
    </row>
    <row r="72" spans="2:7" outlineLevel="1" x14ac:dyDescent="0.25">
      <c r="B72" s="2" t="s">
        <v>24</v>
      </c>
      <c r="C72" s="48">
        <f>+SUM(C69:C71)</f>
        <v>800</v>
      </c>
      <c r="D72" s="48">
        <f>+SUM(D69:D71)</f>
        <v>910</v>
      </c>
      <c r="E72" s="48">
        <f>+SUM(E69:E71)</f>
        <v>930</v>
      </c>
    </row>
    <row r="73" spans="2:7" outlineLevel="1" x14ac:dyDescent="0.25">
      <c r="B73" s="3" t="s">
        <v>21</v>
      </c>
      <c r="C73" s="49">
        <f>+$C69/$G$68</f>
        <v>80</v>
      </c>
      <c r="D73" s="49">
        <f t="shared" ref="D73:E73" si="16">+$C69/$G$68</f>
        <v>80</v>
      </c>
      <c r="E73" s="49">
        <f t="shared" si="16"/>
        <v>80</v>
      </c>
    </row>
    <row r="74" spans="2:7" outlineLevel="1" x14ac:dyDescent="0.25">
      <c r="B74" s="3" t="s">
        <v>22</v>
      </c>
      <c r="C74" s="49"/>
      <c r="D74" s="49">
        <f>+D70/$G$69</f>
        <v>11</v>
      </c>
      <c r="E74" s="49">
        <f>+E70/$G$69</f>
        <v>11</v>
      </c>
    </row>
    <row r="75" spans="2:7" outlineLevel="1" x14ac:dyDescent="0.25">
      <c r="B75" s="3" t="s">
        <v>23</v>
      </c>
      <c r="C75" s="49"/>
      <c r="D75" s="49"/>
      <c r="E75" s="49">
        <f>+E71/$G$70</f>
        <v>2</v>
      </c>
    </row>
    <row r="76" spans="2:7" outlineLevel="1" x14ac:dyDescent="0.25">
      <c r="B76" s="4" t="s">
        <v>26</v>
      </c>
      <c r="C76" s="53">
        <f>+SUM(C73:C75)</f>
        <v>80</v>
      </c>
      <c r="D76" s="53">
        <f>+SUM(D73:D75)</f>
        <v>91</v>
      </c>
      <c r="E76" s="53">
        <f>+SUM(E73:E75)</f>
        <v>93</v>
      </c>
    </row>
    <row r="77" spans="2:7" outlineLevel="1" x14ac:dyDescent="0.25">
      <c r="B77" s="2" t="s">
        <v>27</v>
      </c>
      <c r="C77" s="48">
        <f>+C76</f>
        <v>80</v>
      </c>
      <c r="D77" s="48">
        <f>+C77+D76</f>
        <v>171</v>
      </c>
      <c r="E77" s="48">
        <f>+D77+E76</f>
        <v>264</v>
      </c>
    </row>
    <row r="78" spans="2:7" outlineLevel="1" x14ac:dyDescent="0.25">
      <c r="B78" s="3" t="s">
        <v>79</v>
      </c>
      <c r="C78" s="49">
        <f>+C69-C73</f>
        <v>720</v>
      </c>
      <c r="D78" s="49">
        <f>+C78-D73</f>
        <v>640</v>
      </c>
      <c r="E78" s="49">
        <f>+D78-E73</f>
        <v>560</v>
      </c>
    </row>
    <row r="79" spans="2:7" outlineLevel="1" x14ac:dyDescent="0.25">
      <c r="B79" s="3" t="s">
        <v>80</v>
      </c>
      <c r="C79" s="49"/>
      <c r="D79" s="49">
        <f>+D70-D74</f>
        <v>99</v>
      </c>
      <c r="E79" s="49">
        <f>D79-E74</f>
        <v>88</v>
      </c>
    </row>
    <row r="80" spans="2:7" outlineLevel="1" x14ac:dyDescent="0.25">
      <c r="B80" s="3" t="s">
        <v>81</v>
      </c>
      <c r="C80" s="49"/>
      <c r="D80" s="49"/>
      <c r="E80" s="49">
        <f>+E71-E75</f>
        <v>18</v>
      </c>
    </row>
    <row r="81" spans="2:7" outlineLevel="1" x14ac:dyDescent="0.25">
      <c r="B81" s="11" t="s">
        <v>25</v>
      </c>
      <c r="C81" s="44">
        <f>+SUM(C78:C80)</f>
        <v>720</v>
      </c>
      <c r="D81" s="44">
        <f>+SUM(D78:D80)</f>
        <v>739</v>
      </c>
      <c r="E81" s="44">
        <f>+SUM(E78:E80)</f>
        <v>666</v>
      </c>
    </row>
    <row r="82" spans="2:7" x14ac:dyDescent="0.25">
      <c r="B82" s="8"/>
      <c r="C82" s="51"/>
      <c r="D82" s="51"/>
      <c r="E82" s="51"/>
    </row>
    <row r="83" spans="2:7" x14ac:dyDescent="0.25">
      <c r="B83" s="1" t="s">
        <v>99</v>
      </c>
      <c r="C83" s="41"/>
      <c r="D83" s="41"/>
      <c r="E83" s="41"/>
      <c r="G83" s="13" t="s">
        <v>125</v>
      </c>
    </row>
    <row r="84" spans="2:7" outlineLevel="1" x14ac:dyDescent="0.25">
      <c r="B84" s="149" t="s">
        <v>33</v>
      </c>
      <c r="C84" s="150" t="s">
        <v>5</v>
      </c>
      <c r="D84" s="150" t="s">
        <v>6</v>
      </c>
      <c r="E84" s="150" t="s">
        <v>7</v>
      </c>
      <c r="G84" s="14">
        <v>10</v>
      </c>
    </row>
    <row r="85" spans="2:7" outlineLevel="1" x14ac:dyDescent="0.25">
      <c r="B85" s="3" t="s">
        <v>18</v>
      </c>
      <c r="C85" s="42">
        <v>230</v>
      </c>
      <c r="D85" s="42">
        <v>230</v>
      </c>
      <c r="E85" s="42">
        <v>230</v>
      </c>
      <c r="G85" s="14">
        <v>10</v>
      </c>
    </row>
    <row r="86" spans="2:7" outlineLevel="1" x14ac:dyDescent="0.25">
      <c r="B86" s="3" t="s">
        <v>19</v>
      </c>
      <c r="C86" s="42">
        <v>0</v>
      </c>
      <c r="D86" s="42">
        <v>20</v>
      </c>
      <c r="E86" s="42">
        <v>20</v>
      </c>
      <c r="G86" s="15">
        <v>10</v>
      </c>
    </row>
    <row r="87" spans="2:7" outlineLevel="1" x14ac:dyDescent="0.25">
      <c r="B87" s="3" t="s">
        <v>20</v>
      </c>
      <c r="C87" s="42">
        <v>0</v>
      </c>
      <c r="D87" s="42">
        <v>0</v>
      </c>
      <c r="E87" s="42">
        <v>10</v>
      </c>
    </row>
    <row r="88" spans="2:7" outlineLevel="1" x14ac:dyDescent="0.25">
      <c r="B88" s="2" t="s">
        <v>24</v>
      </c>
      <c r="C88" s="48">
        <f>+SUM(C85:C87)</f>
        <v>230</v>
      </c>
      <c r="D88" s="48">
        <f>+SUM(D85:D87)</f>
        <v>250</v>
      </c>
      <c r="E88" s="48">
        <f>+SUM(E85:E87)</f>
        <v>260</v>
      </c>
    </row>
    <row r="89" spans="2:7" outlineLevel="1" x14ac:dyDescent="0.25">
      <c r="B89" s="3" t="s">
        <v>28</v>
      </c>
      <c r="C89" s="49">
        <f>+$C85/$G$84</f>
        <v>23</v>
      </c>
      <c r="D89" s="49">
        <f t="shared" ref="D89:E89" si="17">+$C85/$G$84</f>
        <v>23</v>
      </c>
      <c r="E89" s="49">
        <f t="shared" si="17"/>
        <v>23</v>
      </c>
    </row>
    <row r="90" spans="2:7" outlineLevel="1" x14ac:dyDescent="0.25">
      <c r="B90" s="3" t="s">
        <v>29</v>
      </c>
      <c r="C90" s="49"/>
      <c r="D90" s="49">
        <f>+D86/$G$85</f>
        <v>2</v>
      </c>
      <c r="E90" s="49">
        <f>+E86/$G$85</f>
        <v>2</v>
      </c>
    </row>
    <row r="91" spans="2:7" outlineLevel="1" x14ac:dyDescent="0.25">
      <c r="B91" s="3" t="s">
        <v>30</v>
      </c>
      <c r="C91" s="49"/>
      <c r="D91" s="49"/>
      <c r="E91" s="49">
        <f>+E87/$G$86</f>
        <v>1</v>
      </c>
    </row>
    <row r="92" spans="2:7" outlineLevel="1" x14ac:dyDescent="0.25">
      <c r="B92" s="4" t="s">
        <v>31</v>
      </c>
      <c r="C92" s="53">
        <f>+SUM(C89:C91)</f>
        <v>23</v>
      </c>
      <c r="D92" s="53">
        <f>+SUM(D89:D91)</f>
        <v>25</v>
      </c>
      <c r="E92" s="53">
        <f>+SUM(E89:E91)</f>
        <v>26</v>
      </c>
    </row>
    <row r="93" spans="2:7" outlineLevel="1" x14ac:dyDescent="0.25">
      <c r="B93" s="2" t="s">
        <v>27</v>
      </c>
      <c r="C93" s="48">
        <f>+C92</f>
        <v>23</v>
      </c>
      <c r="D93" s="48">
        <f>+C93+D92</f>
        <v>48</v>
      </c>
      <c r="E93" s="48">
        <f>+D93+E92</f>
        <v>74</v>
      </c>
    </row>
    <row r="94" spans="2:7" outlineLevel="1" x14ac:dyDescent="0.25">
      <c r="B94" s="3" t="s">
        <v>18</v>
      </c>
      <c r="C94" s="49">
        <f>+C85-C89</f>
        <v>207</v>
      </c>
      <c r="D94" s="49">
        <f>+C94-D89</f>
        <v>184</v>
      </c>
      <c r="E94" s="49">
        <f>+D94-E89</f>
        <v>161</v>
      </c>
    </row>
    <row r="95" spans="2:7" outlineLevel="1" x14ac:dyDescent="0.25">
      <c r="B95" s="3" t="s">
        <v>19</v>
      </c>
      <c r="C95" s="49"/>
      <c r="D95" s="49">
        <f>+D86-D90</f>
        <v>18</v>
      </c>
      <c r="E95" s="49">
        <f>D95-E90</f>
        <v>16</v>
      </c>
    </row>
    <row r="96" spans="2:7" outlineLevel="1" x14ac:dyDescent="0.25">
      <c r="B96" s="3" t="s">
        <v>20</v>
      </c>
      <c r="C96" s="49"/>
      <c r="D96" s="49"/>
      <c r="E96" s="49">
        <f>+E87-E91</f>
        <v>9</v>
      </c>
    </row>
    <row r="97" spans="2:10" outlineLevel="1" x14ac:dyDescent="0.25">
      <c r="B97" s="11" t="s">
        <v>25</v>
      </c>
      <c r="C97" s="44">
        <f>+SUM(C94:C96)</f>
        <v>207</v>
      </c>
      <c r="D97" s="44">
        <f>+SUM(D94:D96)</f>
        <v>202</v>
      </c>
      <c r="E97" s="44">
        <f>+SUM(E94:E96)</f>
        <v>186</v>
      </c>
    </row>
    <row r="98" spans="2:10" x14ac:dyDescent="0.25">
      <c r="B98" s="7"/>
      <c r="C98" s="45"/>
      <c r="D98" s="45"/>
      <c r="E98" s="45"/>
    </row>
    <row r="99" spans="2:10" x14ac:dyDescent="0.25">
      <c r="B99" s="1" t="s">
        <v>100</v>
      </c>
      <c r="C99" s="41"/>
      <c r="D99" s="41"/>
      <c r="E99" s="41"/>
    </row>
    <row r="100" spans="2:10" outlineLevel="1" x14ac:dyDescent="0.25">
      <c r="B100" s="149" t="s">
        <v>36</v>
      </c>
      <c r="C100" s="150" t="s">
        <v>5</v>
      </c>
      <c r="D100" s="150" t="s">
        <v>6</v>
      </c>
      <c r="E100" s="150" t="s">
        <v>7</v>
      </c>
    </row>
    <row r="101" spans="2:10" outlineLevel="1" x14ac:dyDescent="0.25">
      <c r="B101" s="3" t="s">
        <v>37</v>
      </c>
      <c r="C101" s="42">
        <v>136</v>
      </c>
      <c r="D101" s="42">
        <v>88</v>
      </c>
      <c r="E101" s="42">
        <v>126</v>
      </c>
      <c r="F101" s="115"/>
    </row>
    <row r="102" spans="2:10" outlineLevel="1" x14ac:dyDescent="0.25">
      <c r="B102" s="3" t="s">
        <v>38</v>
      </c>
      <c r="C102" s="42">
        <v>60</v>
      </c>
      <c r="D102" s="42">
        <v>70</v>
      </c>
      <c r="E102" s="42">
        <v>72</v>
      </c>
    </row>
    <row r="103" spans="2:10" outlineLevel="1" x14ac:dyDescent="0.25">
      <c r="B103" s="3" t="s">
        <v>39</v>
      </c>
      <c r="C103" s="42">
        <v>433.6</v>
      </c>
      <c r="D103" s="42">
        <v>511.8</v>
      </c>
      <c r="E103" s="42">
        <v>450</v>
      </c>
    </row>
    <row r="104" spans="2:10" outlineLevel="1" x14ac:dyDescent="0.25">
      <c r="B104" s="2" t="s">
        <v>40</v>
      </c>
      <c r="C104" s="48">
        <f>+SUM(C101:C103)</f>
        <v>629.6</v>
      </c>
      <c r="D104" s="48">
        <f>+SUM(D101:D103)</f>
        <v>669.8</v>
      </c>
      <c r="E104" s="48">
        <f>+SUM(E101:E103)</f>
        <v>648</v>
      </c>
    </row>
    <row r="105" spans="2:10" outlineLevel="1" x14ac:dyDescent="0.25">
      <c r="B105" s="3" t="s">
        <v>41</v>
      </c>
      <c r="C105" s="42">
        <v>50</v>
      </c>
      <c r="D105" s="42">
        <v>60</v>
      </c>
      <c r="E105" s="42">
        <v>55</v>
      </c>
    </row>
    <row r="106" spans="2:10" outlineLevel="1" x14ac:dyDescent="0.25">
      <c r="B106" s="3" t="s">
        <v>61</v>
      </c>
      <c r="C106" s="54">
        <f>C105/C104</f>
        <v>7.9415501905972047E-2</v>
      </c>
      <c r="D106" s="54">
        <f t="shared" ref="D106:E106" si="18">D105/D104</f>
        <v>8.957897879964169E-2</v>
      </c>
      <c r="E106" s="54">
        <f t="shared" si="18"/>
        <v>8.4876543209876545E-2</v>
      </c>
    </row>
    <row r="107" spans="2:10" x14ac:dyDescent="0.25">
      <c r="B107" s="7"/>
      <c r="C107" s="45"/>
      <c r="D107" s="45"/>
      <c r="E107" s="45"/>
    </row>
    <row r="108" spans="2:10" x14ac:dyDescent="0.25">
      <c r="B108" s="1" t="s">
        <v>101</v>
      </c>
      <c r="C108" s="41"/>
      <c r="D108" s="41"/>
      <c r="E108" s="41"/>
    </row>
    <row r="109" spans="2:10" outlineLevel="1" x14ac:dyDescent="0.25">
      <c r="B109" s="149" t="s">
        <v>58</v>
      </c>
      <c r="C109" s="150" t="s">
        <v>5</v>
      </c>
      <c r="D109" s="150" t="s">
        <v>6</v>
      </c>
      <c r="E109" s="150" t="s">
        <v>7</v>
      </c>
      <c r="H109" s="10"/>
    </row>
    <row r="110" spans="2:10" outlineLevel="1" x14ac:dyDescent="0.25">
      <c r="B110" s="3" t="s">
        <v>12</v>
      </c>
      <c r="C110" s="42">
        <v>300</v>
      </c>
      <c r="D110" s="42">
        <v>360</v>
      </c>
      <c r="E110" s="42">
        <v>370</v>
      </c>
      <c r="G110" s="105" t="s">
        <v>218</v>
      </c>
      <c r="H110" s="106" t="s">
        <v>5</v>
      </c>
      <c r="I110" s="106" t="s">
        <v>6</v>
      </c>
      <c r="J110" s="106" t="s">
        <v>7</v>
      </c>
    </row>
    <row r="111" spans="2:10" outlineLevel="1" x14ac:dyDescent="0.25">
      <c r="B111" s="3" t="s">
        <v>65</v>
      </c>
      <c r="C111" s="49">
        <f>+C110*50%</f>
        <v>150</v>
      </c>
      <c r="D111" s="49">
        <f t="shared" ref="D111:E111" si="19">+D110*50%</f>
        <v>180</v>
      </c>
      <c r="E111" s="49">
        <f t="shared" si="19"/>
        <v>185</v>
      </c>
      <c r="G111" s="3" t="s">
        <v>65</v>
      </c>
      <c r="H111" s="107">
        <f t="shared" ref="H111:J115" si="20">+C111/C$110</f>
        <v>0.5</v>
      </c>
      <c r="I111" s="107">
        <f t="shared" si="20"/>
        <v>0.5</v>
      </c>
      <c r="J111" s="107">
        <f t="shared" si="20"/>
        <v>0.5</v>
      </c>
    </row>
    <row r="112" spans="2:10" outlineLevel="1" x14ac:dyDescent="0.25">
      <c r="B112" s="3" t="s">
        <v>70</v>
      </c>
      <c r="C112" s="49">
        <f>+C110*35%</f>
        <v>105</v>
      </c>
      <c r="D112" s="49">
        <f t="shared" ref="D112:E112" si="21">+D110*35%</f>
        <v>125.99999999999999</v>
      </c>
      <c r="E112" s="49">
        <f t="shared" si="21"/>
        <v>129.5</v>
      </c>
      <c r="G112" s="3" t="s">
        <v>70</v>
      </c>
      <c r="H112" s="107">
        <f t="shared" si="20"/>
        <v>0.35</v>
      </c>
      <c r="I112" s="107">
        <f t="shared" si="20"/>
        <v>0.35</v>
      </c>
      <c r="J112" s="107">
        <f t="shared" si="20"/>
        <v>0.35</v>
      </c>
    </row>
    <row r="113" spans="2:10" outlineLevel="1" x14ac:dyDescent="0.25">
      <c r="B113" s="3" t="s">
        <v>66</v>
      </c>
      <c r="C113" s="49">
        <f>+C110*10%</f>
        <v>30</v>
      </c>
      <c r="D113" s="49">
        <f t="shared" ref="D113:E113" si="22">+D110*10%</f>
        <v>36</v>
      </c>
      <c r="E113" s="49">
        <f t="shared" si="22"/>
        <v>37</v>
      </c>
      <c r="G113" s="3" t="s">
        <v>66</v>
      </c>
      <c r="H113" s="107">
        <f t="shared" si="20"/>
        <v>0.1</v>
      </c>
      <c r="I113" s="107">
        <f t="shared" si="20"/>
        <v>0.1</v>
      </c>
      <c r="J113" s="107">
        <f t="shared" si="20"/>
        <v>0.1</v>
      </c>
    </row>
    <row r="114" spans="2:10" outlineLevel="1" x14ac:dyDescent="0.25">
      <c r="B114" s="3" t="s">
        <v>67</v>
      </c>
      <c r="C114" s="49">
        <f>+C110*5%</f>
        <v>15</v>
      </c>
      <c r="D114" s="49">
        <f t="shared" ref="D114:E114" si="23">+D110*5%</f>
        <v>18</v>
      </c>
      <c r="E114" s="49">
        <f t="shared" si="23"/>
        <v>18.5</v>
      </c>
      <c r="G114" s="3" t="s">
        <v>67</v>
      </c>
      <c r="H114" s="107">
        <f t="shared" si="20"/>
        <v>0.05</v>
      </c>
      <c r="I114" s="107">
        <f t="shared" si="20"/>
        <v>0.05</v>
      </c>
      <c r="J114" s="107">
        <f t="shared" si="20"/>
        <v>0.05</v>
      </c>
    </row>
    <row r="115" spans="2:10" outlineLevel="1" x14ac:dyDescent="0.25">
      <c r="B115" s="3" t="s">
        <v>68</v>
      </c>
      <c r="C115" s="50">
        <v>0</v>
      </c>
      <c r="D115" s="50">
        <v>0</v>
      </c>
      <c r="E115" s="50">
        <v>0</v>
      </c>
      <c r="G115" s="3" t="s">
        <v>68</v>
      </c>
      <c r="H115" s="107">
        <f t="shared" si="20"/>
        <v>0</v>
      </c>
      <c r="I115" s="107">
        <f t="shared" si="20"/>
        <v>0</v>
      </c>
      <c r="J115" s="107">
        <f t="shared" si="20"/>
        <v>0</v>
      </c>
    </row>
    <row r="116" spans="2:10" x14ac:dyDescent="0.25">
      <c r="B116" s="6"/>
      <c r="C116" s="55"/>
      <c r="D116" s="55"/>
      <c r="E116" s="55"/>
      <c r="H116" s="102"/>
      <c r="I116" s="102"/>
      <c r="J116" s="102"/>
    </row>
    <row r="117" spans="2:10" x14ac:dyDescent="0.25">
      <c r="B117" s="1" t="s">
        <v>102</v>
      </c>
      <c r="C117" s="41"/>
      <c r="D117" s="41"/>
      <c r="E117" s="41"/>
    </row>
    <row r="118" spans="2:10" outlineLevel="1" x14ac:dyDescent="0.25">
      <c r="B118" s="149" t="s">
        <v>59</v>
      </c>
      <c r="C118" s="150" t="s">
        <v>5</v>
      </c>
      <c r="D118" s="150" t="s">
        <v>6</v>
      </c>
      <c r="E118" s="150" t="s">
        <v>7</v>
      </c>
    </row>
    <row r="119" spans="2:10" outlineLevel="1" x14ac:dyDescent="0.25">
      <c r="B119" s="3" t="s">
        <v>13</v>
      </c>
      <c r="C119" s="42">
        <v>80</v>
      </c>
      <c r="D119" s="42">
        <v>30</v>
      </c>
      <c r="E119" s="42">
        <v>72</v>
      </c>
    </row>
    <row r="120" spans="2:10" outlineLevel="1" x14ac:dyDescent="0.25">
      <c r="B120" s="3" t="s">
        <v>14</v>
      </c>
      <c r="C120" s="42">
        <v>100</v>
      </c>
      <c r="D120" s="42">
        <v>42</v>
      </c>
      <c r="E120" s="42">
        <v>90</v>
      </c>
    </row>
    <row r="121" spans="2:10" x14ac:dyDescent="0.25">
      <c r="B121" s="7"/>
      <c r="C121" s="45"/>
      <c r="D121" s="45"/>
      <c r="E121" s="45"/>
    </row>
    <row r="122" spans="2:10" x14ac:dyDescent="0.25">
      <c r="B122" s="1" t="s">
        <v>104</v>
      </c>
      <c r="C122" s="41"/>
      <c r="D122" s="41"/>
      <c r="E122" s="41"/>
    </row>
    <row r="123" spans="2:10" outlineLevel="1" x14ac:dyDescent="0.25">
      <c r="B123" s="149" t="s">
        <v>15</v>
      </c>
      <c r="C123" s="150" t="s">
        <v>5</v>
      </c>
      <c r="D123" s="150" t="s">
        <v>6</v>
      </c>
      <c r="E123" s="150" t="s">
        <v>7</v>
      </c>
    </row>
    <row r="124" spans="2:10" outlineLevel="1" x14ac:dyDescent="0.25">
      <c r="B124" s="3" t="s">
        <v>15</v>
      </c>
      <c r="C124" s="42">
        <v>600</v>
      </c>
      <c r="D124" s="42">
        <v>600</v>
      </c>
      <c r="E124" s="42">
        <v>600</v>
      </c>
    </row>
    <row r="125" spans="2:10" outlineLevel="1" x14ac:dyDescent="0.25">
      <c r="B125" s="3" t="s">
        <v>32</v>
      </c>
      <c r="C125" s="42">
        <v>0</v>
      </c>
      <c r="D125" s="42">
        <v>0</v>
      </c>
      <c r="E125" s="42">
        <v>0</v>
      </c>
    </row>
    <row r="126" spans="2:10" x14ac:dyDescent="0.25">
      <c r="B126" s="7"/>
      <c r="C126" s="45"/>
      <c r="D126" s="45"/>
      <c r="E126" s="45"/>
    </row>
    <row r="127" spans="2:10" x14ac:dyDescent="0.25">
      <c r="B127" s="1" t="s">
        <v>105</v>
      </c>
      <c r="C127" s="41"/>
      <c r="D127" s="41"/>
      <c r="E127" s="41"/>
    </row>
    <row r="128" spans="2:10" outlineLevel="1" x14ac:dyDescent="0.25">
      <c r="B128" s="149" t="s">
        <v>16</v>
      </c>
      <c r="C128" s="150" t="s">
        <v>5</v>
      </c>
      <c r="D128" s="150" t="s">
        <v>6</v>
      </c>
      <c r="E128" s="150" t="s">
        <v>7</v>
      </c>
    </row>
    <row r="129" spans="2:5" outlineLevel="1" x14ac:dyDescent="0.25">
      <c r="B129" s="23" t="s">
        <v>16</v>
      </c>
      <c r="C129" s="56">
        <v>0</v>
      </c>
      <c r="D129" s="56">
        <v>0</v>
      </c>
      <c r="E129" s="56">
        <v>50</v>
      </c>
    </row>
    <row r="130" spans="2:5" outlineLevel="1" x14ac:dyDescent="0.25">
      <c r="B130" s="16" t="s">
        <v>106</v>
      </c>
      <c r="C130" s="116">
        <f>+EEFF!C25/EEFF!C22</f>
        <v>0</v>
      </c>
      <c r="D130" s="116">
        <f>+EEFF!D25/EEFF!D22</f>
        <v>0</v>
      </c>
      <c r="E130" s="116">
        <f>+EEFF!E25/EEFF!E22</f>
        <v>0.15141971121232681</v>
      </c>
    </row>
    <row r="131" spans="2:5" x14ac:dyDescent="0.25">
      <c r="B131" s="7"/>
      <c r="C131" s="45"/>
      <c r="D131" s="45"/>
      <c r="E131" s="45"/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3"/>
  <sheetViews>
    <sheetView showGridLines="0" workbookViewId="0">
      <selection activeCell="B2" sqref="B2:E2"/>
    </sheetView>
  </sheetViews>
  <sheetFormatPr baseColWidth="10" defaultRowHeight="14.25" x14ac:dyDescent="0.25"/>
  <cols>
    <col min="1" max="1" width="4.5703125" style="3" customWidth="1"/>
    <col min="2" max="2" width="39" style="3" customWidth="1"/>
    <col min="3" max="3" width="8" style="59" bestFit="1" customWidth="1"/>
    <col min="4" max="4" width="9.28515625" style="59" bestFit="1" customWidth="1"/>
    <col min="5" max="5" width="9" style="59" bestFit="1" customWidth="1"/>
    <col min="6" max="6" width="3.5703125" style="3" customWidth="1"/>
    <col min="7" max="7" width="39.7109375" style="3" bestFit="1" customWidth="1"/>
    <col min="8" max="10" width="11.42578125" style="3"/>
    <col min="11" max="11" width="4.140625" style="3" customWidth="1"/>
    <col min="12" max="12" width="39.7109375" style="3" bestFit="1" customWidth="1"/>
    <col min="13" max="15" width="11.42578125" style="3"/>
    <col min="16" max="16" width="4.140625" style="3" customWidth="1"/>
    <col min="17" max="17" width="39.7109375" style="3" bestFit="1" customWidth="1"/>
    <col min="18" max="16384" width="11.42578125" style="3"/>
  </cols>
  <sheetData>
    <row r="1" spans="1:20" s="28" customFormat="1" x14ac:dyDescent="0.25">
      <c r="A1" s="27"/>
      <c r="B1" s="27"/>
      <c r="C1" s="34"/>
      <c r="D1" s="34"/>
      <c r="E1" s="34"/>
    </row>
    <row r="2" spans="1:20" s="28" customFormat="1" x14ac:dyDescent="0.25">
      <c r="B2" s="152" t="s">
        <v>234</v>
      </c>
      <c r="C2" s="152"/>
      <c r="D2" s="152"/>
      <c r="E2" s="152"/>
    </row>
    <row r="3" spans="1:20" s="33" customFormat="1" x14ac:dyDescent="0.25">
      <c r="B3" s="26" t="s">
        <v>110</v>
      </c>
      <c r="C3" s="35"/>
      <c r="D3" s="35"/>
      <c r="E3" s="35"/>
      <c r="G3" s="26" t="s">
        <v>204</v>
      </c>
      <c r="H3" s="35"/>
      <c r="I3" s="35"/>
      <c r="J3" s="35"/>
      <c r="L3" s="26" t="s">
        <v>206</v>
      </c>
      <c r="M3" s="35"/>
      <c r="N3" s="35"/>
      <c r="O3" s="35"/>
      <c r="P3" s="35"/>
      <c r="Q3" s="35"/>
      <c r="R3" s="35"/>
      <c r="S3" s="35"/>
      <c r="T3" s="35"/>
    </row>
    <row r="4" spans="1:20" s="28" customFormat="1" x14ac:dyDescent="0.25">
      <c r="B4" s="29" t="s">
        <v>109</v>
      </c>
      <c r="C4" s="34"/>
      <c r="D4" s="34"/>
      <c r="E4" s="34"/>
      <c r="H4" s="34"/>
      <c r="I4" s="34"/>
      <c r="J4" s="34"/>
      <c r="M4" s="34"/>
      <c r="N4" s="34"/>
      <c r="O4" s="34"/>
      <c r="R4" s="34"/>
      <c r="S4" s="34"/>
      <c r="T4" s="34"/>
    </row>
    <row r="5" spans="1:20" s="28" customFormat="1" x14ac:dyDescent="0.25">
      <c r="C5" s="34"/>
      <c r="D5" s="34"/>
      <c r="E5" s="34"/>
      <c r="G5" s="29"/>
      <c r="H5" s="34"/>
      <c r="I5" s="34"/>
      <c r="J5" s="34"/>
      <c r="L5" s="29"/>
      <c r="M5" s="34"/>
      <c r="N5" s="34"/>
      <c r="O5" s="34"/>
      <c r="Q5" s="29"/>
      <c r="R5" s="34"/>
      <c r="S5" s="34"/>
      <c r="T5" s="34"/>
    </row>
    <row r="6" spans="1:20" s="33" customFormat="1" x14ac:dyDescent="0.25">
      <c r="B6" s="146" t="s">
        <v>111</v>
      </c>
      <c r="C6" s="147" t="s">
        <v>112</v>
      </c>
      <c r="D6" s="147" t="s">
        <v>6</v>
      </c>
      <c r="E6" s="147" t="s">
        <v>7</v>
      </c>
      <c r="G6" s="78" t="s">
        <v>205</v>
      </c>
      <c r="H6" s="82" t="s">
        <v>112</v>
      </c>
      <c r="I6" s="82" t="s">
        <v>6</v>
      </c>
      <c r="J6" s="82" t="s">
        <v>7</v>
      </c>
      <c r="L6" s="78" t="s">
        <v>207</v>
      </c>
      <c r="M6" s="82" t="s">
        <v>112</v>
      </c>
      <c r="N6" s="82" t="s">
        <v>6</v>
      </c>
      <c r="O6" s="82" t="s">
        <v>7</v>
      </c>
      <c r="Q6" s="78" t="s">
        <v>208</v>
      </c>
      <c r="R6" s="82" t="s">
        <v>112</v>
      </c>
      <c r="S6" s="82" t="s">
        <v>6</v>
      </c>
      <c r="T6" s="82" t="s">
        <v>7</v>
      </c>
    </row>
    <row r="7" spans="1:20" s="28" customFormat="1" x14ac:dyDescent="0.25">
      <c r="B7" s="28" t="s">
        <v>0</v>
      </c>
      <c r="C7" s="36">
        <f>+Notas!C10</f>
        <v>2400</v>
      </c>
      <c r="D7" s="36">
        <f>+Notas!D10</f>
        <v>2900</v>
      </c>
      <c r="E7" s="36">
        <f>+Notas!E10</f>
        <v>3404</v>
      </c>
      <c r="G7" s="28" t="s">
        <v>0</v>
      </c>
      <c r="H7" s="79">
        <f>C7/C$7</f>
        <v>1</v>
      </c>
      <c r="I7" s="79">
        <f t="shared" ref="I7:J22" si="0">D7/D$7</f>
        <v>1</v>
      </c>
      <c r="J7" s="79">
        <f t="shared" si="0"/>
        <v>1</v>
      </c>
      <c r="L7" s="28" t="s">
        <v>0</v>
      </c>
      <c r="M7" s="79"/>
      <c r="N7" s="121">
        <f>D7/C7-1</f>
        <v>0.20833333333333326</v>
      </c>
      <c r="O7" s="121">
        <f>E7/D7-1</f>
        <v>0.17379310344827581</v>
      </c>
      <c r="Q7" s="28" t="s">
        <v>0</v>
      </c>
      <c r="R7" s="79"/>
      <c r="S7" s="84">
        <f>+D7-C7</f>
        <v>500</v>
      </c>
      <c r="T7" s="84">
        <f>+E7-D7</f>
        <v>504</v>
      </c>
    </row>
    <row r="8" spans="1:20" s="28" customFormat="1" x14ac:dyDescent="0.25">
      <c r="B8" s="28" t="s">
        <v>113</v>
      </c>
      <c r="C8" s="36">
        <f>+Notas!C16</f>
        <v>1440</v>
      </c>
      <c r="D8" s="36">
        <f>+Notas!D16</f>
        <v>1682</v>
      </c>
      <c r="E8" s="36">
        <f>+Notas!E16</f>
        <v>1917.2</v>
      </c>
      <c r="G8" s="28" t="s">
        <v>113</v>
      </c>
      <c r="H8" s="79">
        <f t="shared" ref="H8:H25" si="1">C8/C$7</f>
        <v>0.6</v>
      </c>
      <c r="I8" s="79">
        <f t="shared" si="0"/>
        <v>0.57999999999999996</v>
      </c>
      <c r="J8" s="79">
        <f t="shared" si="0"/>
        <v>0.56321974148061105</v>
      </c>
      <c r="L8" s="28" t="s">
        <v>113</v>
      </c>
      <c r="M8" s="79"/>
      <c r="N8" s="121">
        <f t="shared" ref="N8:O24" si="2">D8/C8-1</f>
        <v>0.16805555555555562</v>
      </c>
      <c r="O8" s="121">
        <f t="shared" si="2"/>
        <v>0.13983353151010713</v>
      </c>
      <c r="Q8" s="28" t="s">
        <v>113</v>
      </c>
      <c r="R8" s="79"/>
      <c r="S8" s="84">
        <f t="shared" ref="S8:S25" si="3">+D8-C8</f>
        <v>242</v>
      </c>
      <c r="T8" s="84">
        <f t="shared" ref="T8:T25" si="4">+E8-D8</f>
        <v>235.20000000000005</v>
      </c>
    </row>
    <row r="9" spans="1:20" s="28" customFormat="1" x14ac:dyDescent="0.25">
      <c r="B9" s="30" t="s">
        <v>114</v>
      </c>
      <c r="C9" s="37">
        <f>+C7-C8</f>
        <v>960</v>
      </c>
      <c r="D9" s="37">
        <f t="shared" ref="D9:E9" si="5">+D7-D8</f>
        <v>1218</v>
      </c>
      <c r="E9" s="37">
        <f t="shared" si="5"/>
        <v>1486.8</v>
      </c>
      <c r="G9" s="30" t="s">
        <v>114</v>
      </c>
      <c r="H9" s="80">
        <f t="shared" si="1"/>
        <v>0.4</v>
      </c>
      <c r="I9" s="80">
        <f t="shared" si="0"/>
        <v>0.42</v>
      </c>
      <c r="J9" s="80">
        <f t="shared" si="0"/>
        <v>0.43678025851938895</v>
      </c>
      <c r="L9" s="30" t="s">
        <v>114</v>
      </c>
      <c r="M9" s="80"/>
      <c r="N9" s="122">
        <f t="shared" si="2"/>
        <v>0.26875000000000004</v>
      </c>
      <c r="O9" s="122">
        <f t="shared" si="2"/>
        <v>0.22068965517241379</v>
      </c>
      <c r="Q9" s="30" t="s">
        <v>114</v>
      </c>
      <c r="R9" s="80"/>
      <c r="S9" s="85">
        <f t="shared" si="3"/>
        <v>258</v>
      </c>
      <c r="T9" s="85">
        <f t="shared" si="4"/>
        <v>268.79999999999995</v>
      </c>
    </row>
    <row r="10" spans="1:20" s="28" customFormat="1" x14ac:dyDescent="0.25">
      <c r="B10" s="31" t="s">
        <v>1</v>
      </c>
      <c r="C10" s="38">
        <f>SUM(C11:C14)</f>
        <v>720</v>
      </c>
      <c r="D10" s="38">
        <f t="shared" ref="D10:E10" si="6">SUM(D11:D14)</f>
        <v>858</v>
      </c>
      <c r="E10" s="38">
        <f t="shared" si="6"/>
        <v>944.2</v>
      </c>
      <c r="G10" s="31" t="s">
        <v>1</v>
      </c>
      <c r="H10" s="79">
        <f t="shared" si="1"/>
        <v>0.3</v>
      </c>
      <c r="I10" s="79">
        <f t="shared" si="0"/>
        <v>0.29586206896551726</v>
      </c>
      <c r="J10" s="79">
        <f t="shared" si="0"/>
        <v>0.27737955346651</v>
      </c>
      <c r="L10" s="31" t="s">
        <v>1</v>
      </c>
      <c r="M10" s="81"/>
      <c r="N10" s="123">
        <f t="shared" si="2"/>
        <v>0.19166666666666665</v>
      </c>
      <c r="O10" s="123">
        <f t="shared" si="2"/>
        <v>0.10046620046620047</v>
      </c>
      <c r="Q10" s="31" t="s">
        <v>1</v>
      </c>
      <c r="R10" s="81"/>
      <c r="S10" s="86">
        <f t="shared" si="3"/>
        <v>138</v>
      </c>
      <c r="T10" s="86">
        <f t="shared" si="4"/>
        <v>86.200000000000045</v>
      </c>
    </row>
    <row r="11" spans="1:20" s="28" customFormat="1" x14ac:dyDescent="0.25">
      <c r="B11" s="32" t="s">
        <v>2</v>
      </c>
      <c r="C11" s="36">
        <f>+Notas!C20</f>
        <v>316</v>
      </c>
      <c r="D11" s="36">
        <f>+Notas!D20</f>
        <v>361</v>
      </c>
      <c r="E11" s="36">
        <f>+Notas!E20</f>
        <v>397.36</v>
      </c>
      <c r="G11" s="32" t="s">
        <v>2</v>
      </c>
      <c r="H11" s="79">
        <f t="shared" si="1"/>
        <v>0.13166666666666665</v>
      </c>
      <c r="I11" s="79">
        <f t="shared" si="0"/>
        <v>0.12448275862068965</v>
      </c>
      <c r="J11" s="79">
        <f t="shared" si="0"/>
        <v>0.11673325499412457</v>
      </c>
      <c r="L11" s="32" t="s">
        <v>2</v>
      </c>
      <c r="M11" s="79"/>
      <c r="N11" s="121">
        <f t="shared" si="2"/>
        <v>0.14240506329113933</v>
      </c>
      <c r="O11" s="121">
        <f t="shared" si="2"/>
        <v>0.10072022160664829</v>
      </c>
      <c r="Q11" s="32" t="s">
        <v>2</v>
      </c>
      <c r="R11" s="79"/>
      <c r="S11" s="84">
        <f t="shared" si="3"/>
        <v>45</v>
      </c>
      <c r="T11" s="84">
        <f t="shared" si="4"/>
        <v>36.360000000000014</v>
      </c>
    </row>
    <row r="12" spans="1:20" s="28" customFormat="1" x14ac:dyDescent="0.25">
      <c r="B12" s="32" t="s">
        <v>115</v>
      </c>
      <c r="C12" s="36">
        <f>+Notas!C21</f>
        <v>301</v>
      </c>
      <c r="D12" s="36">
        <f>+Notas!D21</f>
        <v>381</v>
      </c>
      <c r="E12" s="36">
        <f>+Notas!E21</f>
        <v>427.84</v>
      </c>
      <c r="G12" s="32" t="s">
        <v>115</v>
      </c>
      <c r="H12" s="79">
        <f t="shared" si="1"/>
        <v>0.12541666666666668</v>
      </c>
      <c r="I12" s="79">
        <f t="shared" si="0"/>
        <v>0.13137931034482758</v>
      </c>
      <c r="J12" s="79">
        <f t="shared" si="0"/>
        <v>0.12568742655699178</v>
      </c>
      <c r="L12" s="32" t="s">
        <v>115</v>
      </c>
      <c r="M12" s="79"/>
      <c r="N12" s="121">
        <f t="shared" si="2"/>
        <v>0.26578073089700993</v>
      </c>
      <c r="O12" s="121">
        <f t="shared" si="2"/>
        <v>0.12293963254593177</v>
      </c>
      <c r="Q12" s="32" t="s">
        <v>115</v>
      </c>
      <c r="R12" s="79"/>
      <c r="S12" s="84">
        <f t="shared" si="3"/>
        <v>80</v>
      </c>
      <c r="T12" s="84">
        <f t="shared" si="4"/>
        <v>46.839999999999975</v>
      </c>
    </row>
    <row r="13" spans="1:20" s="28" customFormat="1" x14ac:dyDescent="0.25">
      <c r="B13" s="32" t="s">
        <v>116</v>
      </c>
      <c r="C13" s="36">
        <f>+Notas!C22</f>
        <v>80</v>
      </c>
      <c r="D13" s="36">
        <f>+Notas!D22</f>
        <v>91</v>
      </c>
      <c r="E13" s="36">
        <f>+Notas!E22</f>
        <v>93</v>
      </c>
      <c r="G13" s="32" t="s">
        <v>116</v>
      </c>
      <c r="H13" s="79">
        <f t="shared" si="1"/>
        <v>3.3333333333333333E-2</v>
      </c>
      <c r="I13" s="79">
        <f t="shared" si="0"/>
        <v>3.1379310344827584E-2</v>
      </c>
      <c r="J13" s="79">
        <f t="shared" si="0"/>
        <v>2.7320799059929495E-2</v>
      </c>
      <c r="L13" s="32" t="s">
        <v>116</v>
      </c>
      <c r="M13" s="79"/>
      <c r="N13" s="121">
        <f t="shared" si="2"/>
        <v>0.13749999999999996</v>
      </c>
      <c r="O13" s="121">
        <f t="shared" si="2"/>
        <v>2.19780219780219E-2</v>
      </c>
      <c r="Q13" s="32" t="s">
        <v>116</v>
      </c>
      <c r="R13" s="79"/>
      <c r="S13" s="84">
        <f t="shared" si="3"/>
        <v>11</v>
      </c>
      <c r="T13" s="84">
        <f t="shared" si="4"/>
        <v>2</v>
      </c>
    </row>
    <row r="14" spans="1:20" s="28" customFormat="1" x14ac:dyDescent="0.25">
      <c r="B14" s="32" t="s">
        <v>124</v>
      </c>
      <c r="C14" s="36">
        <f>+Notas!C23</f>
        <v>23</v>
      </c>
      <c r="D14" s="36">
        <f>+Notas!D23</f>
        <v>25</v>
      </c>
      <c r="E14" s="36">
        <f>+Notas!E23</f>
        <v>26</v>
      </c>
      <c r="G14" s="32" t="s">
        <v>124</v>
      </c>
      <c r="H14" s="79">
        <f t="shared" si="1"/>
        <v>9.5833333333333326E-3</v>
      </c>
      <c r="I14" s="79">
        <f t="shared" si="0"/>
        <v>8.6206896551724137E-3</v>
      </c>
      <c r="J14" s="79">
        <f t="shared" si="0"/>
        <v>7.6380728554641597E-3</v>
      </c>
      <c r="L14" s="32" t="s">
        <v>124</v>
      </c>
      <c r="M14" s="79"/>
      <c r="N14" s="121">
        <f t="shared" si="2"/>
        <v>8.6956521739130377E-2</v>
      </c>
      <c r="O14" s="121">
        <f t="shared" si="2"/>
        <v>4.0000000000000036E-2</v>
      </c>
      <c r="Q14" s="32" t="s">
        <v>124</v>
      </c>
      <c r="R14" s="79"/>
      <c r="S14" s="84">
        <f t="shared" si="3"/>
        <v>2</v>
      </c>
      <c r="T14" s="84">
        <f t="shared" si="4"/>
        <v>1</v>
      </c>
    </row>
    <row r="15" spans="1:20" s="28" customFormat="1" x14ac:dyDescent="0.25">
      <c r="B15" s="30" t="s">
        <v>117</v>
      </c>
      <c r="C15" s="37">
        <f>C9-C10</f>
        <v>240</v>
      </c>
      <c r="D15" s="37">
        <f t="shared" ref="D15:E15" si="7">D9-D10</f>
        <v>360</v>
      </c>
      <c r="E15" s="37">
        <f t="shared" si="7"/>
        <v>542.59999999999991</v>
      </c>
      <c r="G15" s="30" t="s">
        <v>117</v>
      </c>
      <c r="H15" s="80">
        <f t="shared" si="1"/>
        <v>0.1</v>
      </c>
      <c r="I15" s="80">
        <f t="shared" si="0"/>
        <v>0.12413793103448276</v>
      </c>
      <c r="J15" s="80">
        <f t="shared" si="0"/>
        <v>0.15940070505287893</v>
      </c>
      <c r="L15" s="30" t="s">
        <v>117</v>
      </c>
      <c r="M15" s="80"/>
      <c r="N15" s="122">
        <f t="shared" si="2"/>
        <v>0.5</v>
      </c>
      <c r="O15" s="122">
        <f t="shared" si="2"/>
        <v>0.50722222222222202</v>
      </c>
      <c r="Q15" s="30" t="s">
        <v>117</v>
      </c>
      <c r="R15" s="80"/>
      <c r="S15" s="85">
        <f t="shared" si="3"/>
        <v>120</v>
      </c>
      <c r="T15" s="85">
        <f t="shared" si="4"/>
        <v>182.59999999999991</v>
      </c>
    </row>
    <row r="16" spans="1:20" s="28" customFormat="1" x14ac:dyDescent="0.25">
      <c r="B16" s="28" t="s">
        <v>118</v>
      </c>
      <c r="C16" s="36">
        <f>+Notas!C105</f>
        <v>50</v>
      </c>
      <c r="D16" s="36">
        <f>+Notas!D105</f>
        <v>60</v>
      </c>
      <c r="E16" s="36">
        <f>+Notas!E105</f>
        <v>55</v>
      </c>
      <c r="G16" s="28" t="s">
        <v>118</v>
      </c>
      <c r="H16" s="79">
        <f t="shared" si="1"/>
        <v>2.0833333333333332E-2</v>
      </c>
      <c r="I16" s="79">
        <f t="shared" si="0"/>
        <v>2.0689655172413793E-2</v>
      </c>
      <c r="J16" s="79">
        <f t="shared" si="0"/>
        <v>1.6157461809635721E-2</v>
      </c>
      <c r="L16" s="28" t="s">
        <v>118</v>
      </c>
      <c r="M16" s="79"/>
      <c r="N16" s="121">
        <f t="shared" si="2"/>
        <v>0.19999999999999996</v>
      </c>
      <c r="O16" s="121">
        <f t="shared" si="2"/>
        <v>-8.333333333333337E-2</v>
      </c>
      <c r="Q16" s="28" t="s">
        <v>118</v>
      </c>
      <c r="R16" s="79"/>
      <c r="S16" s="84">
        <f t="shared" si="3"/>
        <v>10</v>
      </c>
      <c r="T16" s="84">
        <f t="shared" si="4"/>
        <v>-5</v>
      </c>
    </row>
    <row r="17" spans="2:20" s="28" customFormat="1" x14ac:dyDescent="0.25">
      <c r="B17" s="28" t="s">
        <v>3</v>
      </c>
      <c r="C17" s="36">
        <f>+Notas!C28</f>
        <v>4</v>
      </c>
      <c r="D17" s="36">
        <f>+Notas!D28</f>
        <v>8</v>
      </c>
      <c r="E17" s="36">
        <f>+Notas!E28</f>
        <v>4</v>
      </c>
      <c r="G17" s="28" t="s">
        <v>3</v>
      </c>
      <c r="H17" s="79">
        <f t="shared" si="1"/>
        <v>1.6666666666666668E-3</v>
      </c>
      <c r="I17" s="79">
        <f t="shared" si="0"/>
        <v>2.7586206896551722E-3</v>
      </c>
      <c r="J17" s="79">
        <f t="shared" si="0"/>
        <v>1.1750881316098707E-3</v>
      </c>
      <c r="L17" s="28" t="s">
        <v>3</v>
      </c>
      <c r="M17" s="79"/>
      <c r="N17" s="121">
        <f t="shared" si="2"/>
        <v>1</v>
      </c>
      <c r="O17" s="121">
        <f t="shared" si="2"/>
        <v>-0.5</v>
      </c>
      <c r="Q17" s="28" t="s">
        <v>3</v>
      </c>
      <c r="R17" s="79"/>
      <c r="S17" s="84">
        <f t="shared" si="3"/>
        <v>4</v>
      </c>
      <c r="T17" s="84">
        <f t="shared" si="4"/>
        <v>-4</v>
      </c>
    </row>
    <row r="18" spans="2:20" s="28" customFormat="1" x14ac:dyDescent="0.25">
      <c r="B18" s="28" t="s">
        <v>4</v>
      </c>
      <c r="C18" s="36">
        <f>+Notas!C29</f>
        <v>4</v>
      </c>
      <c r="D18" s="36">
        <f>+Notas!D29</f>
        <v>4</v>
      </c>
      <c r="E18" s="36">
        <f>+Notas!E29</f>
        <v>6</v>
      </c>
      <c r="G18" s="28" t="s">
        <v>4</v>
      </c>
      <c r="H18" s="79">
        <f t="shared" si="1"/>
        <v>1.6666666666666668E-3</v>
      </c>
      <c r="I18" s="79">
        <f t="shared" si="0"/>
        <v>1.3793103448275861E-3</v>
      </c>
      <c r="J18" s="79">
        <f t="shared" si="0"/>
        <v>1.7626321974148062E-3</v>
      </c>
      <c r="L18" s="28" t="s">
        <v>4</v>
      </c>
      <c r="M18" s="79"/>
      <c r="N18" s="121">
        <f t="shared" si="2"/>
        <v>0</v>
      </c>
      <c r="O18" s="121">
        <f t="shared" si="2"/>
        <v>0.5</v>
      </c>
      <c r="Q18" s="28" t="s">
        <v>4</v>
      </c>
      <c r="R18" s="79"/>
      <c r="S18" s="84">
        <f t="shared" si="3"/>
        <v>0</v>
      </c>
      <c r="T18" s="84">
        <f t="shared" si="4"/>
        <v>2</v>
      </c>
    </row>
    <row r="19" spans="2:20" s="28" customFormat="1" x14ac:dyDescent="0.25">
      <c r="B19" s="30" t="s">
        <v>119</v>
      </c>
      <c r="C19" s="37">
        <f>C15-C16+C17-C18</f>
        <v>190</v>
      </c>
      <c r="D19" s="37">
        <f t="shared" ref="D19:E19" si="8">D15-D16+D17-D18</f>
        <v>304</v>
      </c>
      <c r="E19" s="37">
        <f t="shared" si="8"/>
        <v>485.59999999999991</v>
      </c>
      <c r="G19" s="30" t="s">
        <v>119</v>
      </c>
      <c r="H19" s="80">
        <f t="shared" si="1"/>
        <v>7.9166666666666663E-2</v>
      </c>
      <c r="I19" s="80">
        <f t="shared" si="0"/>
        <v>0.10482758620689656</v>
      </c>
      <c r="J19" s="80">
        <f t="shared" si="0"/>
        <v>0.14265569917743828</v>
      </c>
      <c r="L19" s="30" t="s">
        <v>119</v>
      </c>
      <c r="M19" s="80"/>
      <c r="N19" s="122">
        <f t="shared" si="2"/>
        <v>0.60000000000000009</v>
      </c>
      <c r="O19" s="122">
        <f t="shared" si="2"/>
        <v>0.59736842105263133</v>
      </c>
      <c r="Q19" s="30" t="s">
        <v>119</v>
      </c>
      <c r="R19" s="80"/>
      <c r="S19" s="85">
        <f t="shared" si="3"/>
        <v>114</v>
      </c>
      <c r="T19" s="85">
        <f t="shared" si="4"/>
        <v>181.59999999999991</v>
      </c>
    </row>
    <row r="20" spans="2:20" s="28" customFormat="1" x14ac:dyDescent="0.25">
      <c r="B20" s="28" t="s">
        <v>120</v>
      </c>
      <c r="C20" s="39">
        <f>Notas!C33*EEFF!C19</f>
        <v>47.5</v>
      </c>
      <c r="D20" s="39">
        <f>Notas!D33*EEFF!D19</f>
        <v>76</v>
      </c>
      <c r="E20" s="39">
        <f>Notas!E33*EEFF!E19</f>
        <v>121.39999999999998</v>
      </c>
      <c r="G20" s="28" t="s">
        <v>120</v>
      </c>
      <c r="H20" s="79">
        <f t="shared" si="1"/>
        <v>1.9791666666666666E-2</v>
      </c>
      <c r="I20" s="79">
        <f t="shared" si="0"/>
        <v>2.6206896551724139E-2</v>
      </c>
      <c r="J20" s="79">
        <f t="shared" si="0"/>
        <v>3.5663924794359571E-2</v>
      </c>
      <c r="L20" s="28" t="s">
        <v>120</v>
      </c>
      <c r="M20" s="79"/>
      <c r="N20" s="121">
        <f t="shared" si="2"/>
        <v>0.60000000000000009</v>
      </c>
      <c r="O20" s="121">
        <f t="shared" si="2"/>
        <v>0.59736842105263133</v>
      </c>
      <c r="Q20" s="28" t="s">
        <v>120</v>
      </c>
      <c r="R20" s="79"/>
      <c r="S20" s="84">
        <f t="shared" si="3"/>
        <v>28.5</v>
      </c>
      <c r="T20" s="84">
        <f t="shared" si="4"/>
        <v>45.399999999999977</v>
      </c>
    </row>
    <row r="21" spans="2:20" s="28" customFormat="1" x14ac:dyDescent="0.25">
      <c r="B21" s="28" t="s">
        <v>121</v>
      </c>
      <c r="C21" s="39">
        <f>Notas!C34*C19</f>
        <v>13.3</v>
      </c>
      <c r="D21" s="39">
        <f>Notas!D34*D19</f>
        <v>21.28</v>
      </c>
      <c r="E21" s="39">
        <f>Notas!E34*E19</f>
        <v>33.991999999999997</v>
      </c>
      <c r="G21" s="28" t="s">
        <v>121</v>
      </c>
      <c r="H21" s="79">
        <f t="shared" si="1"/>
        <v>5.541666666666667E-3</v>
      </c>
      <c r="I21" s="79">
        <f t="shared" si="0"/>
        <v>7.3379310344827593E-3</v>
      </c>
      <c r="J21" s="79">
        <f t="shared" si="0"/>
        <v>9.9858989424206814E-3</v>
      </c>
      <c r="L21" s="28" t="s">
        <v>121</v>
      </c>
      <c r="M21" s="79"/>
      <c r="N21" s="121">
        <f t="shared" si="2"/>
        <v>0.60000000000000009</v>
      </c>
      <c r="O21" s="121">
        <f t="shared" si="2"/>
        <v>0.59736842105263133</v>
      </c>
      <c r="Q21" s="28" t="s">
        <v>121</v>
      </c>
      <c r="R21" s="79"/>
      <c r="S21" s="84">
        <f t="shared" si="3"/>
        <v>7.98</v>
      </c>
      <c r="T21" s="84">
        <f t="shared" si="4"/>
        <v>12.711999999999996</v>
      </c>
    </row>
    <row r="22" spans="2:20" s="28" customFormat="1" x14ac:dyDescent="0.25">
      <c r="B22" s="30" t="s">
        <v>122</v>
      </c>
      <c r="C22" s="37">
        <f>C19-C20-C21</f>
        <v>129.19999999999999</v>
      </c>
      <c r="D22" s="37">
        <f t="shared" ref="D22:E22" si="9">D19-D20-D21</f>
        <v>206.72</v>
      </c>
      <c r="E22" s="37">
        <f t="shared" si="9"/>
        <v>330.20799999999991</v>
      </c>
      <c r="G22" s="30" t="s">
        <v>122</v>
      </c>
      <c r="H22" s="80">
        <f t="shared" si="1"/>
        <v>5.383333333333333E-2</v>
      </c>
      <c r="I22" s="80">
        <f t="shared" si="0"/>
        <v>7.1282758620689654E-2</v>
      </c>
      <c r="J22" s="80">
        <f t="shared" si="0"/>
        <v>9.7005875440658029E-2</v>
      </c>
      <c r="L22" s="30" t="s">
        <v>122</v>
      </c>
      <c r="M22" s="80"/>
      <c r="N22" s="122">
        <f t="shared" si="2"/>
        <v>0.60000000000000009</v>
      </c>
      <c r="O22" s="122">
        <f t="shared" si="2"/>
        <v>0.5973684210526311</v>
      </c>
      <c r="Q22" s="30" t="s">
        <v>122</v>
      </c>
      <c r="R22" s="80"/>
      <c r="S22" s="85">
        <f t="shared" si="3"/>
        <v>77.52000000000001</v>
      </c>
      <c r="T22" s="85">
        <f t="shared" si="4"/>
        <v>123.48799999999991</v>
      </c>
    </row>
    <row r="23" spans="2:20" s="28" customFormat="1" x14ac:dyDescent="0.25">
      <c r="C23" s="39"/>
      <c r="D23" s="39"/>
      <c r="E23" s="39"/>
      <c r="H23" s="79">
        <f t="shared" si="1"/>
        <v>0</v>
      </c>
      <c r="I23" s="79">
        <f t="shared" ref="I23:I25" si="10">D23/D$7</f>
        <v>0</v>
      </c>
      <c r="J23" s="79">
        <f t="shared" ref="J23:J25" si="11">E23/E$7</f>
        <v>0</v>
      </c>
      <c r="M23" s="79"/>
      <c r="N23" s="121"/>
      <c r="O23" s="121"/>
      <c r="R23" s="79"/>
      <c r="S23" s="84"/>
      <c r="T23" s="84"/>
    </row>
    <row r="24" spans="2:20" s="28" customFormat="1" x14ac:dyDescent="0.25">
      <c r="B24" s="31" t="s">
        <v>123</v>
      </c>
      <c r="C24" s="38">
        <f>C15+C14+C13</f>
        <v>343</v>
      </c>
      <c r="D24" s="38">
        <f t="shared" ref="D24:E24" si="12">D15+D14+D13</f>
        <v>476</v>
      </c>
      <c r="E24" s="38">
        <f t="shared" si="12"/>
        <v>661.59999999999991</v>
      </c>
      <c r="G24" s="31" t="s">
        <v>123</v>
      </c>
      <c r="H24" s="81">
        <f t="shared" si="1"/>
        <v>0.14291666666666666</v>
      </c>
      <c r="I24" s="81">
        <f t="shared" si="10"/>
        <v>0.16413793103448276</v>
      </c>
      <c r="J24" s="81">
        <f t="shared" si="11"/>
        <v>0.19435957696827261</v>
      </c>
      <c r="L24" s="31" t="s">
        <v>123</v>
      </c>
      <c r="M24" s="81"/>
      <c r="N24" s="123">
        <f t="shared" si="2"/>
        <v>0.38775510204081631</v>
      </c>
      <c r="O24" s="123">
        <f t="shared" si="2"/>
        <v>0.38991596638655435</v>
      </c>
      <c r="Q24" s="31" t="s">
        <v>123</v>
      </c>
      <c r="R24" s="81"/>
      <c r="S24" s="86">
        <f t="shared" si="3"/>
        <v>133</v>
      </c>
      <c r="T24" s="86">
        <f t="shared" si="4"/>
        <v>185.59999999999991</v>
      </c>
    </row>
    <row r="25" spans="2:20" s="28" customFormat="1" x14ac:dyDescent="0.25">
      <c r="B25" s="31" t="s">
        <v>16</v>
      </c>
      <c r="C25" s="119">
        <f>+Notas!C129</f>
        <v>0</v>
      </c>
      <c r="D25" s="119">
        <f>+Notas!D129</f>
        <v>0</v>
      </c>
      <c r="E25" s="119">
        <f>+Notas!E129</f>
        <v>50</v>
      </c>
      <c r="G25" s="31" t="s">
        <v>16</v>
      </c>
      <c r="H25" s="81">
        <f t="shared" si="1"/>
        <v>0</v>
      </c>
      <c r="I25" s="81">
        <f t="shared" si="10"/>
        <v>0</v>
      </c>
      <c r="J25" s="81">
        <f t="shared" si="11"/>
        <v>1.4688601645123384E-2</v>
      </c>
      <c r="L25" s="31" t="s">
        <v>16</v>
      </c>
      <c r="M25" s="81"/>
      <c r="N25" s="123">
        <v>0</v>
      </c>
      <c r="O25" s="123">
        <v>1</v>
      </c>
      <c r="Q25" s="31" t="s">
        <v>16</v>
      </c>
      <c r="R25" s="81"/>
      <c r="S25" s="86">
        <f t="shared" si="3"/>
        <v>0</v>
      </c>
      <c r="T25" s="86">
        <f t="shared" si="4"/>
        <v>50</v>
      </c>
    </row>
    <row r="26" spans="2:20" s="28" customFormat="1" x14ac:dyDescent="0.25">
      <c r="C26" s="34"/>
      <c r="D26" s="34"/>
      <c r="E26" s="34"/>
    </row>
    <row r="27" spans="2:20" s="28" customFormat="1" x14ac:dyDescent="0.25">
      <c r="B27" s="148" t="s">
        <v>127</v>
      </c>
      <c r="C27" s="147" t="s">
        <v>112</v>
      </c>
      <c r="D27" s="147" t="s">
        <v>6</v>
      </c>
      <c r="E27" s="147" t="s">
        <v>7</v>
      </c>
      <c r="G27" s="78" t="s">
        <v>209</v>
      </c>
      <c r="H27" s="82" t="s">
        <v>112</v>
      </c>
      <c r="I27" s="82" t="s">
        <v>6</v>
      </c>
      <c r="J27" s="82" t="s">
        <v>7</v>
      </c>
      <c r="L27" s="78" t="s">
        <v>210</v>
      </c>
      <c r="M27" s="82" t="s">
        <v>112</v>
      </c>
      <c r="N27" s="82" t="s">
        <v>6</v>
      </c>
      <c r="O27" s="82" t="s">
        <v>7</v>
      </c>
      <c r="Q27" s="78" t="s">
        <v>211</v>
      </c>
      <c r="R27" s="82" t="s">
        <v>112</v>
      </c>
      <c r="S27" s="82" t="s">
        <v>6</v>
      </c>
      <c r="T27" s="82" t="s">
        <v>7</v>
      </c>
    </row>
    <row r="28" spans="2:20" s="28" customFormat="1" x14ac:dyDescent="0.25">
      <c r="B28" s="28" t="s">
        <v>17</v>
      </c>
      <c r="C28" s="36">
        <f>+Notas!C43</f>
        <v>247.1</v>
      </c>
      <c r="D28" s="36">
        <f>+Notas!D43</f>
        <v>134.55000000000001</v>
      </c>
      <c r="E28" s="36">
        <f>+Notas!E43</f>
        <v>309.95</v>
      </c>
      <c r="G28" s="28" t="s">
        <v>17</v>
      </c>
      <c r="H28" s="91">
        <f>C28/(C$32+C$40)</f>
        <v>0.13341612223961991</v>
      </c>
      <c r="I28" s="91">
        <f t="shared" ref="I28:J43" si="13">D28/(D$32+D$40)</f>
        <v>6.4927857935627081E-2</v>
      </c>
      <c r="J28" s="91">
        <f t="shared" si="13"/>
        <v>0.12575567006126506</v>
      </c>
      <c r="L28" s="28" t="s">
        <v>17</v>
      </c>
      <c r="M28" s="91"/>
      <c r="N28" s="94">
        <f>D28/C28-1</f>
        <v>-0.45548360987454461</v>
      </c>
      <c r="O28" s="94">
        <f>E28/D28-1</f>
        <v>1.3036046079524337</v>
      </c>
      <c r="Q28" s="28" t="s">
        <v>17</v>
      </c>
      <c r="R28" s="88"/>
      <c r="S28" s="84">
        <f>D28-C28</f>
        <v>-112.54999999999998</v>
      </c>
      <c r="T28" s="84">
        <f>E28-D28</f>
        <v>175.39999999999998</v>
      </c>
    </row>
    <row r="29" spans="2:20" s="28" customFormat="1" x14ac:dyDescent="0.25">
      <c r="B29" s="28" t="s">
        <v>8</v>
      </c>
      <c r="C29" s="36">
        <f>+Notas!C49</f>
        <v>430</v>
      </c>
      <c r="D29" s="36">
        <f>+Notas!D49</f>
        <v>590</v>
      </c>
      <c r="E29" s="36">
        <f>+Notas!E49</f>
        <v>748</v>
      </c>
      <c r="G29" s="28" t="s">
        <v>8</v>
      </c>
      <c r="H29" s="91">
        <f t="shared" ref="H29:H53" si="14">C29/(C$32+C$40)</f>
        <v>0.2321688893688246</v>
      </c>
      <c r="I29" s="91">
        <f t="shared" si="13"/>
        <v>0.28470781257539929</v>
      </c>
      <c r="J29" s="91">
        <f t="shared" si="13"/>
        <v>0.30348521118188826</v>
      </c>
      <c r="L29" s="28" t="s">
        <v>8</v>
      </c>
      <c r="M29" s="91"/>
      <c r="N29" s="94">
        <f t="shared" ref="N29:O53" si="15">D29/C29-1</f>
        <v>0.37209302325581395</v>
      </c>
      <c r="O29" s="94">
        <f t="shared" si="15"/>
        <v>0.26779661016949152</v>
      </c>
      <c r="Q29" s="28" t="s">
        <v>8</v>
      </c>
      <c r="R29" s="88"/>
      <c r="S29" s="84">
        <f t="shared" ref="S29:T53" si="16">D29-C29</f>
        <v>160</v>
      </c>
      <c r="T29" s="84">
        <f t="shared" si="16"/>
        <v>158</v>
      </c>
    </row>
    <row r="30" spans="2:20" s="28" customFormat="1" x14ac:dyDescent="0.25">
      <c r="B30" s="28" t="s">
        <v>9</v>
      </c>
      <c r="C30" s="36">
        <f>+Notas!C60</f>
        <v>170</v>
      </c>
      <c r="D30" s="36">
        <f>+Notas!D60</f>
        <v>300</v>
      </c>
      <c r="E30" s="36">
        <f>+Notas!E60</f>
        <v>350</v>
      </c>
      <c r="G30" s="28" t="s">
        <v>9</v>
      </c>
      <c r="H30" s="91">
        <f t="shared" si="14"/>
        <v>9.1787700448139956E-2</v>
      </c>
      <c r="I30" s="91">
        <f t="shared" si="13"/>
        <v>0.14476668436037252</v>
      </c>
      <c r="J30" s="91">
        <f t="shared" si="13"/>
        <v>0.14200511218403863</v>
      </c>
      <c r="L30" s="28" t="s">
        <v>9</v>
      </c>
      <c r="M30" s="91"/>
      <c r="N30" s="94">
        <f t="shared" si="15"/>
        <v>0.76470588235294112</v>
      </c>
      <c r="O30" s="94">
        <f t="shared" si="15"/>
        <v>0.16666666666666674</v>
      </c>
      <c r="Q30" s="28" t="s">
        <v>9</v>
      </c>
      <c r="R30" s="88"/>
      <c r="S30" s="84">
        <f t="shared" si="16"/>
        <v>130</v>
      </c>
      <c r="T30" s="84">
        <f t="shared" si="16"/>
        <v>50</v>
      </c>
    </row>
    <row r="31" spans="2:20" s="28" customFormat="1" x14ac:dyDescent="0.25">
      <c r="B31" s="28" t="s">
        <v>11</v>
      </c>
      <c r="C31" s="36">
        <f>+Notas!C64</f>
        <v>38</v>
      </c>
      <c r="D31" s="36">
        <f>+Notas!D64</f>
        <v>58</v>
      </c>
      <c r="E31" s="36">
        <f>+Notas!E64</f>
        <v>107</v>
      </c>
      <c r="G31" s="28" t="s">
        <v>11</v>
      </c>
      <c r="H31" s="91">
        <f t="shared" si="14"/>
        <v>2.0517250688407755E-2</v>
      </c>
      <c r="I31" s="91">
        <f t="shared" si="13"/>
        <v>2.7988225643005352E-2</v>
      </c>
      <c r="J31" s="91">
        <f t="shared" si="13"/>
        <v>4.3412991439120384E-2</v>
      </c>
      <c r="L31" s="28" t="s">
        <v>11</v>
      </c>
      <c r="M31" s="91"/>
      <c r="N31" s="94">
        <f t="shared" si="15"/>
        <v>0.52631578947368429</v>
      </c>
      <c r="O31" s="94">
        <f t="shared" si="15"/>
        <v>0.84482758620689657</v>
      </c>
      <c r="Q31" s="28" t="s">
        <v>11</v>
      </c>
      <c r="R31" s="88"/>
      <c r="S31" s="84">
        <f t="shared" si="16"/>
        <v>20</v>
      </c>
      <c r="T31" s="84">
        <f t="shared" si="16"/>
        <v>49</v>
      </c>
    </row>
    <row r="32" spans="2:20" s="28" customFormat="1" x14ac:dyDescent="0.25">
      <c r="B32" s="30" t="s">
        <v>128</v>
      </c>
      <c r="C32" s="37">
        <f>+SUM(C28:C31)</f>
        <v>885.1</v>
      </c>
      <c r="D32" s="37">
        <f t="shared" ref="D32:E32" si="17">+SUM(D28:D31)</f>
        <v>1082.55</v>
      </c>
      <c r="E32" s="37">
        <f t="shared" si="17"/>
        <v>1514.95</v>
      </c>
      <c r="G32" s="30" t="s">
        <v>128</v>
      </c>
      <c r="H32" s="80">
        <f t="shared" si="14"/>
        <v>0.47788996274499218</v>
      </c>
      <c r="I32" s="80">
        <f t="shared" si="13"/>
        <v>0.52239058051440423</v>
      </c>
      <c r="J32" s="80">
        <f t="shared" si="13"/>
        <v>0.61465898486631243</v>
      </c>
      <c r="L32" s="30" t="s">
        <v>128</v>
      </c>
      <c r="M32" s="92"/>
      <c r="N32" s="101">
        <f t="shared" si="15"/>
        <v>0.22308213761156925</v>
      </c>
      <c r="O32" s="101">
        <f t="shared" si="15"/>
        <v>0.39942727818576529</v>
      </c>
      <c r="Q32" s="30" t="s">
        <v>128</v>
      </c>
      <c r="R32" s="89"/>
      <c r="S32" s="85">
        <f t="shared" si="16"/>
        <v>197.44999999999993</v>
      </c>
      <c r="T32" s="85">
        <f t="shared" si="16"/>
        <v>432.40000000000009</v>
      </c>
    </row>
    <row r="33" spans="2:20" s="28" customFormat="1" x14ac:dyDescent="0.25">
      <c r="B33" s="28" t="s">
        <v>129</v>
      </c>
      <c r="C33" s="36">
        <f>+Notas!C72</f>
        <v>800</v>
      </c>
      <c r="D33" s="36">
        <f>+Notas!D72</f>
        <v>910</v>
      </c>
      <c r="E33" s="36">
        <f>+Notas!E72</f>
        <v>930</v>
      </c>
      <c r="G33" s="28" t="s">
        <v>129</v>
      </c>
      <c r="H33" s="91">
        <f t="shared" si="14"/>
        <v>0.4319421197559527</v>
      </c>
      <c r="I33" s="91">
        <f t="shared" si="13"/>
        <v>0.43912560922646332</v>
      </c>
      <c r="J33" s="91">
        <f t="shared" si="13"/>
        <v>0.3773278695175884</v>
      </c>
      <c r="L33" s="28" t="s">
        <v>129</v>
      </c>
      <c r="M33" s="91"/>
      <c r="N33" s="94">
        <f t="shared" si="15"/>
        <v>0.13749999999999996</v>
      </c>
      <c r="O33" s="94">
        <f t="shared" si="15"/>
        <v>2.19780219780219E-2</v>
      </c>
      <c r="Q33" s="28" t="s">
        <v>129</v>
      </c>
      <c r="R33" s="88"/>
      <c r="S33" s="84">
        <f t="shared" si="16"/>
        <v>110</v>
      </c>
      <c r="T33" s="84">
        <f t="shared" si="16"/>
        <v>20</v>
      </c>
    </row>
    <row r="34" spans="2:20" s="28" customFormat="1" x14ac:dyDescent="0.25">
      <c r="B34" s="28" t="s">
        <v>130</v>
      </c>
      <c r="C34" s="36">
        <f>+Notas!C77</f>
        <v>80</v>
      </c>
      <c r="D34" s="36">
        <f>+Notas!D77</f>
        <v>171</v>
      </c>
      <c r="E34" s="36">
        <f>+Notas!E77</f>
        <v>264</v>
      </c>
      <c r="G34" s="28" t="s">
        <v>130</v>
      </c>
      <c r="H34" s="91">
        <f t="shared" si="14"/>
        <v>4.3194211975595274E-2</v>
      </c>
      <c r="I34" s="91">
        <f t="shared" si="13"/>
        <v>8.2517010085412332E-2</v>
      </c>
      <c r="J34" s="91">
        <f t="shared" si="13"/>
        <v>0.10711242747596057</v>
      </c>
      <c r="L34" s="28" t="s">
        <v>130</v>
      </c>
      <c r="M34" s="91"/>
      <c r="N34" s="94">
        <f t="shared" si="15"/>
        <v>1.1375000000000002</v>
      </c>
      <c r="O34" s="94">
        <f t="shared" si="15"/>
        <v>0.54385964912280693</v>
      </c>
      <c r="Q34" s="28" t="s">
        <v>130</v>
      </c>
      <c r="R34" s="88"/>
      <c r="S34" s="84">
        <f t="shared" si="16"/>
        <v>91</v>
      </c>
      <c r="T34" s="84">
        <f t="shared" si="16"/>
        <v>93</v>
      </c>
    </row>
    <row r="35" spans="2:20" s="28" customFormat="1" x14ac:dyDescent="0.25">
      <c r="B35" s="28" t="s">
        <v>131</v>
      </c>
      <c r="C35" s="36">
        <f>+Notas!C81</f>
        <v>720</v>
      </c>
      <c r="D35" s="36">
        <f>+Notas!D81</f>
        <v>739</v>
      </c>
      <c r="E35" s="36">
        <f>+Notas!E81</f>
        <v>666</v>
      </c>
      <c r="G35" s="28" t="s">
        <v>131</v>
      </c>
      <c r="H35" s="91">
        <f>C35/(C$32+C$40)</f>
        <v>0.38874790778035745</v>
      </c>
      <c r="I35" s="91">
        <f t="shared" si="13"/>
        <v>0.35660859914105097</v>
      </c>
      <c r="J35" s="91">
        <f t="shared" si="13"/>
        <v>0.27021544204162778</v>
      </c>
      <c r="L35" s="28" t="s">
        <v>131</v>
      </c>
      <c r="M35" s="91"/>
      <c r="N35" s="94">
        <f t="shared" si="15"/>
        <v>2.6388888888888795E-2</v>
      </c>
      <c r="O35" s="94">
        <f t="shared" si="15"/>
        <v>-9.8782138024357202E-2</v>
      </c>
      <c r="Q35" s="28" t="s">
        <v>131</v>
      </c>
      <c r="R35" s="88"/>
      <c r="S35" s="84">
        <f t="shared" si="16"/>
        <v>19</v>
      </c>
      <c r="T35" s="84">
        <f t="shared" si="16"/>
        <v>-73</v>
      </c>
    </row>
    <row r="36" spans="2:20" s="28" customFormat="1" x14ac:dyDescent="0.25">
      <c r="B36" s="28" t="s">
        <v>132</v>
      </c>
      <c r="C36" s="36">
        <f>+Notas!C88</f>
        <v>230</v>
      </c>
      <c r="D36" s="36">
        <f>+Notas!D88</f>
        <v>250</v>
      </c>
      <c r="E36" s="36">
        <f>+Notas!E88</f>
        <v>260</v>
      </c>
      <c r="G36" s="28" t="s">
        <v>132</v>
      </c>
      <c r="H36" s="91">
        <f t="shared" si="14"/>
        <v>0.12418335942983641</v>
      </c>
      <c r="I36" s="91">
        <f t="shared" si="13"/>
        <v>0.12063890363364377</v>
      </c>
      <c r="J36" s="91">
        <f t="shared" si="13"/>
        <v>0.10548951190814299</v>
      </c>
      <c r="L36" s="28" t="s">
        <v>132</v>
      </c>
      <c r="M36" s="91"/>
      <c r="N36" s="94">
        <f t="shared" si="15"/>
        <v>8.6956521739130377E-2</v>
      </c>
      <c r="O36" s="94">
        <f t="shared" si="15"/>
        <v>4.0000000000000036E-2</v>
      </c>
      <c r="Q36" s="28" t="s">
        <v>132</v>
      </c>
      <c r="R36" s="88"/>
      <c r="S36" s="84">
        <f t="shared" si="16"/>
        <v>20</v>
      </c>
      <c r="T36" s="84">
        <f t="shared" si="16"/>
        <v>10</v>
      </c>
    </row>
    <row r="37" spans="2:20" s="28" customFormat="1" x14ac:dyDescent="0.25">
      <c r="B37" s="28" t="s">
        <v>133</v>
      </c>
      <c r="C37" s="36">
        <f>+Notas!C93</f>
        <v>23</v>
      </c>
      <c r="D37" s="36">
        <f>+Notas!D93</f>
        <v>48</v>
      </c>
      <c r="E37" s="36">
        <f>+Notas!E93</f>
        <v>74</v>
      </c>
      <c r="G37" s="28" t="s">
        <v>133</v>
      </c>
      <c r="H37" s="91">
        <f t="shared" si="14"/>
        <v>1.2418335942983642E-2</v>
      </c>
      <c r="I37" s="91">
        <f t="shared" si="13"/>
        <v>2.3162669497659605E-2</v>
      </c>
      <c r="J37" s="91">
        <f t="shared" si="13"/>
        <v>3.0023938004625311E-2</v>
      </c>
      <c r="L37" s="28" t="s">
        <v>133</v>
      </c>
      <c r="M37" s="91"/>
      <c r="N37" s="94">
        <f t="shared" si="15"/>
        <v>1.0869565217391304</v>
      </c>
      <c r="O37" s="94">
        <f t="shared" si="15"/>
        <v>0.54166666666666674</v>
      </c>
      <c r="Q37" s="28" t="s">
        <v>133</v>
      </c>
      <c r="R37" s="88"/>
      <c r="S37" s="84">
        <f t="shared" si="16"/>
        <v>25</v>
      </c>
      <c r="T37" s="84">
        <f t="shared" si="16"/>
        <v>26</v>
      </c>
    </row>
    <row r="38" spans="2:20" s="28" customFormat="1" x14ac:dyDescent="0.25">
      <c r="B38" s="28" t="s">
        <v>134</v>
      </c>
      <c r="C38" s="36">
        <f>+Notas!C97</f>
        <v>207</v>
      </c>
      <c r="D38" s="36">
        <f>+Notas!D97</f>
        <v>202</v>
      </c>
      <c r="E38" s="36">
        <f>+Notas!E97</f>
        <v>186</v>
      </c>
      <c r="G38" s="28" t="s">
        <v>134</v>
      </c>
      <c r="H38" s="91">
        <f t="shared" si="14"/>
        <v>0.11176502348685277</v>
      </c>
      <c r="I38" s="91">
        <f t="shared" si="13"/>
        <v>9.7476234135984163E-2</v>
      </c>
      <c r="J38" s="91">
        <f t="shared" si="13"/>
        <v>7.5465573903517671E-2</v>
      </c>
      <c r="L38" s="28" t="s">
        <v>134</v>
      </c>
      <c r="M38" s="91"/>
      <c r="N38" s="94">
        <f t="shared" si="15"/>
        <v>-2.4154589371980673E-2</v>
      </c>
      <c r="O38" s="94">
        <f t="shared" si="15"/>
        <v>-7.9207920792079167E-2</v>
      </c>
      <c r="Q38" s="28" t="s">
        <v>134</v>
      </c>
      <c r="R38" s="88"/>
      <c r="S38" s="84">
        <f t="shared" si="16"/>
        <v>-5</v>
      </c>
      <c r="T38" s="84">
        <f t="shared" si="16"/>
        <v>-16</v>
      </c>
    </row>
    <row r="39" spans="2:20" s="28" customFormat="1" x14ac:dyDescent="0.25">
      <c r="B39" s="28" t="s">
        <v>10</v>
      </c>
      <c r="C39" s="36">
        <f>+Notas!C65</f>
        <v>40</v>
      </c>
      <c r="D39" s="36">
        <f>+Notas!D65</f>
        <v>48.75</v>
      </c>
      <c r="E39" s="36">
        <f>+Notas!E65</f>
        <v>97.75</v>
      </c>
      <c r="G39" s="28" t="s">
        <v>10</v>
      </c>
      <c r="H39" s="91">
        <f t="shared" si="14"/>
        <v>2.1597105987797637E-2</v>
      </c>
      <c r="I39" s="91">
        <f t="shared" si="13"/>
        <v>2.3524586208560534E-2</v>
      </c>
      <c r="J39" s="91">
        <f t="shared" si="13"/>
        <v>3.9659999188542218E-2</v>
      </c>
      <c r="L39" s="28" t="s">
        <v>10</v>
      </c>
      <c r="M39" s="91"/>
      <c r="N39" s="94">
        <f t="shared" si="15"/>
        <v>0.21875</v>
      </c>
      <c r="O39" s="94">
        <f t="shared" si="15"/>
        <v>1.0051282051282051</v>
      </c>
      <c r="Q39" s="28" t="s">
        <v>10</v>
      </c>
      <c r="R39" s="88"/>
      <c r="S39" s="84">
        <f t="shared" si="16"/>
        <v>8.75</v>
      </c>
      <c r="T39" s="84">
        <f t="shared" si="16"/>
        <v>49</v>
      </c>
    </row>
    <row r="40" spans="2:20" s="28" customFormat="1" x14ac:dyDescent="0.25">
      <c r="B40" s="30" t="s">
        <v>135</v>
      </c>
      <c r="C40" s="37">
        <f>C35++C38+C39</f>
        <v>967</v>
      </c>
      <c r="D40" s="37">
        <f t="shared" ref="D40:E40" si="18">D35++D38+D39</f>
        <v>989.75</v>
      </c>
      <c r="E40" s="37">
        <f t="shared" si="18"/>
        <v>949.75</v>
      </c>
      <c r="G40" s="30" t="s">
        <v>135</v>
      </c>
      <c r="H40" s="80">
        <f t="shared" si="14"/>
        <v>0.52211003725500782</v>
      </c>
      <c r="I40" s="80">
        <f t="shared" si="13"/>
        <v>0.47760941948559565</v>
      </c>
      <c r="J40" s="80">
        <f t="shared" si="13"/>
        <v>0.38534101513368768</v>
      </c>
      <c r="L40" s="30" t="s">
        <v>135</v>
      </c>
      <c r="M40" s="92"/>
      <c r="N40" s="101">
        <f t="shared" si="15"/>
        <v>2.3526370217166415E-2</v>
      </c>
      <c r="O40" s="101">
        <f t="shared" si="15"/>
        <v>-4.0414246021722611E-2</v>
      </c>
      <c r="Q40" s="30" t="s">
        <v>135</v>
      </c>
      <c r="R40" s="89"/>
      <c r="S40" s="85">
        <f t="shared" si="16"/>
        <v>22.75</v>
      </c>
      <c r="T40" s="85">
        <f t="shared" si="16"/>
        <v>-40</v>
      </c>
    </row>
    <row r="41" spans="2:20" s="28" customFormat="1" x14ac:dyDescent="0.25">
      <c r="B41" s="28" t="s">
        <v>136</v>
      </c>
      <c r="C41" s="36">
        <f>+Notas!C101</f>
        <v>136</v>
      </c>
      <c r="D41" s="36">
        <f>+Notas!D101</f>
        <v>88</v>
      </c>
      <c r="E41" s="36">
        <f>+Notas!E101</f>
        <v>126</v>
      </c>
      <c r="G41" s="28" t="s">
        <v>136</v>
      </c>
      <c r="H41" s="91">
        <f t="shared" si="14"/>
        <v>7.3430160358511964E-2</v>
      </c>
      <c r="I41" s="91">
        <f t="shared" si="13"/>
        <v>4.2464894079042609E-2</v>
      </c>
      <c r="J41" s="91">
        <f t="shared" si="13"/>
        <v>5.1121840386253906E-2</v>
      </c>
      <c r="L41" s="28" t="s">
        <v>136</v>
      </c>
      <c r="M41" s="91"/>
      <c r="N41" s="94">
        <f t="shared" si="15"/>
        <v>-0.3529411764705882</v>
      </c>
      <c r="O41" s="94">
        <f t="shared" si="15"/>
        <v>0.43181818181818188</v>
      </c>
      <c r="Q41" s="28" t="s">
        <v>136</v>
      </c>
      <c r="R41" s="88"/>
      <c r="S41" s="84">
        <f t="shared" si="16"/>
        <v>-48</v>
      </c>
      <c r="T41" s="84">
        <f t="shared" si="16"/>
        <v>38</v>
      </c>
    </row>
    <row r="42" spans="2:20" s="28" customFormat="1" x14ac:dyDescent="0.25">
      <c r="B42" s="28" t="s">
        <v>137</v>
      </c>
      <c r="C42" s="36">
        <f>+Notas!C102</f>
        <v>60</v>
      </c>
      <c r="D42" s="36">
        <f>+Notas!D102</f>
        <v>70</v>
      </c>
      <c r="E42" s="36">
        <f>+Notas!E102</f>
        <v>72</v>
      </c>
      <c r="G42" s="28" t="s">
        <v>137</v>
      </c>
      <c r="H42" s="91">
        <f t="shared" si="14"/>
        <v>3.2395658981696454E-2</v>
      </c>
      <c r="I42" s="91">
        <f t="shared" si="13"/>
        <v>3.3778893017420257E-2</v>
      </c>
      <c r="J42" s="91">
        <f t="shared" si="13"/>
        <v>2.921248022071652E-2</v>
      </c>
      <c r="L42" s="28" t="s">
        <v>137</v>
      </c>
      <c r="M42" s="91"/>
      <c r="N42" s="94">
        <f t="shared" si="15"/>
        <v>0.16666666666666674</v>
      </c>
      <c r="O42" s="94">
        <f t="shared" si="15"/>
        <v>2.857142857142847E-2</v>
      </c>
      <c r="Q42" s="28" t="s">
        <v>137</v>
      </c>
      <c r="R42" s="88"/>
      <c r="S42" s="84">
        <f t="shared" si="16"/>
        <v>10</v>
      </c>
      <c r="T42" s="84">
        <f t="shared" si="16"/>
        <v>2</v>
      </c>
    </row>
    <row r="43" spans="2:20" s="28" customFormat="1" x14ac:dyDescent="0.25">
      <c r="B43" s="28" t="s">
        <v>12</v>
      </c>
      <c r="C43" s="36">
        <f>+Notas!C110</f>
        <v>300</v>
      </c>
      <c r="D43" s="36">
        <f>+Notas!D110</f>
        <v>360</v>
      </c>
      <c r="E43" s="36">
        <f>+Notas!E110</f>
        <v>370</v>
      </c>
      <c r="G43" s="28" t="s">
        <v>12</v>
      </c>
      <c r="H43" s="91">
        <f t="shared" si="14"/>
        <v>0.16197829490848228</v>
      </c>
      <c r="I43" s="91">
        <f t="shared" si="13"/>
        <v>0.17372002123244704</v>
      </c>
      <c r="J43" s="91">
        <f t="shared" si="13"/>
        <v>0.15011969002312656</v>
      </c>
      <c r="L43" s="28" t="s">
        <v>12</v>
      </c>
      <c r="M43" s="91"/>
      <c r="N43" s="94">
        <f t="shared" si="15"/>
        <v>0.19999999999999996</v>
      </c>
      <c r="O43" s="94">
        <f t="shared" si="15"/>
        <v>2.7777777777777679E-2</v>
      </c>
      <c r="Q43" s="28" t="s">
        <v>12</v>
      </c>
      <c r="R43" s="88"/>
      <c r="S43" s="84">
        <f t="shared" si="16"/>
        <v>60</v>
      </c>
      <c r="T43" s="84">
        <f t="shared" si="16"/>
        <v>10</v>
      </c>
    </row>
    <row r="44" spans="2:20" s="28" customFormat="1" x14ac:dyDescent="0.25">
      <c r="B44" s="28" t="s">
        <v>13</v>
      </c>
      <c r="C44" s="36">
        <f>+Notas!C119</f>
        <v>80</v>
      </c>
      <c r="D44" s="36">
        <f>+Notas!D119</f>
        <v>30</v>
      </c>
      <c r="E44" s="36">
        <f>+Notas!E119</f>
        <v>72</v>
      </c>
      <c r="G44" s="28" t="s">
        <v>13</v>
      </c>
      <c r="H44" s="91">
        <f t="shared" si="14"/>
        <v>4.3194211975595274E-2</v>
      </c>
      <c r="I44" s="91">
        <f t="shared" ref="I44:I53" si="19">D44/(D$32+D$40)</f>
        <v>1.4476668436037251E-2</v>
      </c>
      <c r="J44" s="91">
        <f t="shared" ref="J44:J53" si="20">E44/(E$32+E$40)</f>
        <v>2.921248022071652E-2</v>
      </c>
      <c r="L44" s="28" t="s">
        <v>13</v>
      </c>
      <c r="M44" s="91"/>
      <c r="N44" s="94">
        <f t="shared" si="15"/>
        <v>-0.625</v>
      </c>
      <c r="O44" s="94">
        <f t="shared" si="15"/>
        <v>1.4</v>
      </c>
      <c r="Q44" s="28" t="s">
        <v>13</v>
      </c>
      <c r="R44" s="88"/>
      <c r="S44" s="84">
        <f t="shared" si="16"/>
        <v>-50</v>
      </c>
      <c r="T44" s="84">
        <f t="shared" si="16"/>
        <v>42</v>
      </c>
    </row>
    <row r="45" spans="2:20" s="28" customFormat="1" x14ac:dyDescent="0.25">
      <c r="B45" s="30" t="s">
        <v>138</v>
      </c>
      <c r="C45" s="37">
        <f>+SUM(C41:C44)</f>
        <v>576</v>
      </c>
      <c r="D45" s="37">
        <f t="shared" ref="D45:E45" si="21">+SUM(D41:D44)</f>
        <v>548</v>
      </c>
      <c r="E45" s="37">
        <f t="shared" si="21"/>
        <v>640</v>
      </c>
      <c r="G45" s="30" t="s">
        <v>138</v>
      </c>
      <c r="H45" s="80">
        <f t="shared" si="14"/>
        <v>0.31099832622428597</v>
      </c>
      <c r="I45" s="80">
        <f t="shared" si="19"/>
        <v>0.26444047676494714</v>
      </c>
      <c r="J45" s="80">
        <f t="shared" si="20"/>
        <v>0.2596664908508135</v>
      </c>
      <c r="L45" s="30" t="s">
        <v>138</v>
      </c>
      <c r="M45" s="92"/>
      <c r="N45" s="101">
        <f t="shared" si="15"/>
        <v>-4.861111111111116E-2</v>
      </c>
      <c r="O45" s="101">
        <f t="shared" si="15"/>
        <v>0.16788321167883202</v>
      </c>
      <c r="Q45" s="30" t="s">
        <v>138</v>
      </c>
      <c r="R45" s="89"/>
      <c r="S45" s="85">
        <f t="shared" si="16"/>
        <v>-28</v>
      </c>
      <c r="T45" s="85">
        <f t="shared" si="16"/>
        <v>92</v>
      </c>
    </row>
    <row r="46" spans="2:20" s="28" customFormat="1" x14ac:dyDescent="0.25">
      <c r="B46" s="28" t="s">
        <v>139</v>
      </c>
      <c r="C46" s="36">
        <f>+Notas!C103</f>
        <v>433.6</v>
      </c>
      <c r="D46" s="36">
        <f>+Notas!D103</f>
        <v>511.8</v>
      </c>
      <c r="E46" s="36">
        <f>+Notas!E103</f>
        <v>450</v>
      </c>
      <c r="G46" s="28" t="s">
        <v>139</v>
      </c>
      <c r="H46" s="91">
        <f t="shared" si="14"/>
        <v>0.23411262890772638</v>
      </c>
      <c r="I46" s="91">
        <f t="shared" si="19"/>
        <v>0.24697196351879552</v>
      </c>
      <c r="J46" s="91">
        <f t="shared" si="20"/>
        <v>0.18257800137947824</v>
      </c>
      <c r="L46" s="28" t="s">
        <v>139</v>
      </c>
      <c r="M46" s="91"/>
      <c r="N46" s="94">
        <f t="shared" si="15"/>
        <v>0.18035055350553497</v>
      </c>
      <c r="O46" s="94">
        <f t="shared" si="15"/>
        <v>-0.1207502930832357</v>
      </c>
      <c r="Q46" s="28" t="s">
        <v>139</v>
      </c>
      <c r="R46" s="88"/>
      <c r="S46" s="84">
        <f t="shared" si="16"/>
        <v>78.199999999999989</v>
      </c>
      <c r="T46" s="84">
        <f t="shared" si="16"/>
        <v>-61.800000000000011</v>
      </c>
    </row>
    <row r="47" spans="2:20" s="28" customFormat="1" x14ac:dyDescent="0.25">
      <c r="B47" s="28" t="s">
        <v>14</v>
      </c>
      <c r="C47" s="36">
        <f>+Notas!C120</f>
        <v>100</v>
      </c>
      <c r="D47" s="36">
        <f>+Notas!D120</f>
        <v>42</v>
      </c>
      <c r="E47" s="36">
        <f>+Notas!E120</f>
        <v>90</v>
      </c>
      <c r="G47" s="28" t="s">
        <v>14</v>
      </c>
      <c r="H47" s="91">
        <f t="shared" si="14"/>
        <v>5.3992764969494088E-2</v>
      </c>
      <c r="I47" s="91">
        <f t="shared" si="19"/>
        <v>2.0267335810452154E-2</v>
      </c>
      <c r="J47" s="91">
        <f t="shared" si="20"/>
        <v>3.6515600275895649E-2</v>
      </c>
      <c r="L47" s="28" t="s">
        <v>14</v>
      </c>
      <c r="M47" s="91"/>
      <c r="N47" s="94">
        <f t="shared" si="15"/>
        <v>-0.58000000000000007</v>
      </c>
      <c r="O47" s="94">
        <f t="shared" si="15"/>
        <v>1.1428571428571428</v>
      </c>
      <c r="Q47" s="28" t="s">
        <v>14</v>
      </c>
      <c r="R47" s="88"/>
      <c r="S47" s="84">
        <f t="shared" si="16"/>
        <v>-58</v>
      </c>
      <c r="T47" s="84">
        <f t="shared" si="16"/>
        <v>48</v>
      </c>
    </row>
    <row r="48" spans="2:20" s="28" customFormat="1" x14ac:dyDescent="0.25">
      <c r="B48" s="30" t="s">
        <v>140</v>
      </c>
      <c r="C48" s="37">
        <f>+SUM(C46:C47)</f>
        <v>533.6</v>
      </c>
      <c r="D48" s="37">
        <f t="shared" ref="D48:E48" si="22">+SUM(D46:D47)</f>
        <v>553.79999999999995</v>
      </c>
      <c r="E48" s="37">
        <f t="shared" si="22"/>
        <v>540</v>
      </c>
      <c r="G48" s="30" t="s">
        <v>140</v>
      </c>
      <c r="H48" s="80">
        <f t="shared" si="14"/>
        <v>0.28810539387722051</v>
      </c>
      <c r="I48" s="80">
        <f t="shared" si="19"/>
        <v>0.26723929932924767</v>
      </c>
      <c r="J48" s="80">
        <f t="shared" si="20"/>
        <v>0.21909360165537389</v>
      </c>
      <c r="L48" s="30" t="s">
        <v>140</v>
      </c>
      <c r="M48" s="92"/>
      <c r="N48" s="101">
        <f t="shared" si="15"/>
        <v>3.7856071964017968E-2</v>
      </c>
      <c r="O48" s="101">
        <f t="shared" si="15"/>
        <v>-2.4918743228602325E-2</v>
      </c>
      <c r="Q48" s="30" t="s">
        <v>140</v>
      </c>
      <c r="R48" s="89"/>
      <c r="S48" s="85">
        <f t="shared" si="16"/>
        <v>20.199999999999932</v>
      </c>
      <c r="T48" s="85">
        <f t="shared" si="16"/>
        <v>-13.799999999999955</v>
      </c>
    </row>
    <row r="49" spans="2:20" s="28" customFormat="1" x14ac:dyDescent="0.25">
      <c r="B49" s="28" t="s">
        <v>15</v>
      </c>
      <c r="C49" s="36">
        <f>+Notas!C124</f>
        <v>600</v>
      </c>
      <c r="D49" s="36">
        <f>+Notas!D124</f>
        <v>600</v>
      </c>
      <c r="E49" s="36">
        <f>+Notas!E124</f>
        <v>600</v>
      </c>
      <c r="G49" s="28" t="s">
        <v>15</v>
      </c>
      <c r="H49" s="91">
        <f t="shared" si="14"/>
        <v>0.32395658981696457</v>
      </c>
      <c r="I49" s="91">
        <f t="shared" si="19"/>
        <v>0.28953336872074503</v>
      </c>
      <c r="J49" s="91">
        <f t="shared" si="20"/>
        <v>0.24343733517263766</v>
      </c>
      <c r="L49" s="28" t="s">
        <v>15</v>
      </c>
      <c r="M49" s="91"/>
      <c r="N49" s="94">
        <f t="shared" si="15"/>
        <v>0</v>
      </c>
      <c r="O49" s="94">
        <f t="shared" si="15"/>
        <v>0</v>
      </c>
      <c r="Q49" s="28" t="s">
        <v>15</v>
      </c>
      <c r="R49" s="88"/>
      <c r="S49" s="84">
        <f t="shared" si="16"/>
        <v>0</v>
      </c>
      <c r="T49" s="84">
        <f t="shared" si="16"/>
        <v>0</v>
      </c>
    </row>
    <row r="50" spans="2:20" s="28" customFormat="1" x14ac:dyDescent="0.25">
      <c r="B50" s="28" t="s">
        <v>121</v>
      </c>
      <c r="C50" s="36">
        <f>+EEFF!C21</f>
        <v>13.3</v>
      </c>
      <c r="D50" s="39">
        <f>+C50+D21</f>
        <v>34.58</v>
      </c>
      <c r="E50" s="39">
        <f>+D50+E21</f>
        <v>68.572000000000003</v>
      </c>
      <c r="G50" s="28" t="s">
        <v>121</v>
      </c>
      <c r="H50" s="91">
        <f t="shared" si="14"/>
        <v>7.1810377409427147E-3</v>
      </c>
      <c r="I50" s="91">
        <f t="shared" si="19"/>
        <v>1.6686773150605606E-2</v>
      </c>
      <c r="J50" s="91">
        <f t="shared" si="20"/>
        <v>2.7821641579096851E-2</v>
      </c>
      <c r="L50" s="28" t="s">
        <v>121</v>
      </c>
      <c r="M50" s="93"/>
      <c r="N50" s="94">
        <f t="shared" si="15"/>
        <v>1.5999999999999996</v>
      </c>
      <c r="O50" s="94">
        <f t="shared" si="15"/>
        <v>0.98299595141700413</v>
      </c>
      <c r="Q50" s="28" t="s">
        <v>121</v>
      </c>
      <c r="R50" s="90"/>
      <c r="S50" s="84">
        <f t="shared" si="16"/>
        <v>21.279999999999998</v>
      </c>
      <c r="T50" s="84">
        <f t="shared" si="16"/>
        <v>33.992000000000004</v>
      </c>
    </row>
    <row r="51" spans="2:20" s="28" customFormat="1" x14ac:dyDescent="0.25">
      <c r="B51" s="28" t="s">
        <v>32</v>
      </c>
      <c r="C51" s="36">
        <f>+Notas!C125</f>
        <v>0</v>
      </c>
      <c r="D51" s="36">
        <f>+Notas!D125</f>
        <v>0</v>
      </c>
      <c r="E51" s="36">
        <f>+Notas!E125</f>
        <v>0</v>
      </c>
      <c r="G51" s="28" t="s">
        <v>32</v>
      </c>
      <c r="H51" s="91">
        <f t="shared" si="14"/>
        <v>0</v>
      </c>
      <c r="I51" s="91">
        <f t="shared" si="19"/>
        <v>0</v>
      </c>
      <c r="J51" s="91">
        <f t="shared" si="20"/>
        <v>0</v>
      </c>
      <c r="L51" s="28" t="s">
        <v>32</v>
      </c>
      <c r="M51" s="91"/>
      <c r="N51" s="94"/>
      <c r="O51" s="94"/>
      <c r="Q51" s="28" t="s">
        <v>32</v>
      </c>
      <c r="R51" s="88"/>
      <c r="S51" s="84">
        <f t="shared" si="16"/>
        <v>0</v>
      </c>
      <c r="T51" s="84">
        <f t="shared" si="16"/>
        <v>0</v>
      </c>
    </row>
    <row r="52" spans="2:20" s="28" customFormat="1" x14ac:dyDescent="0.25">
      <c r="B52" s="28" t="s">
        <v>141</v>
      </c>
      <c r="C52" s="39">
        <f>+EEFF!C22</f>
        <v>129.19999999999999</v>
      </c>
      <c r="D52" s="39">
        <f>+EEFF!D22+C22</f>
        <v>335.91999999999996</v>
      </c>
      <c r="E52" s="39">
        <f>D52+E22-E25</f>
        <v>616.12799999999993</v>
      </c>
      <c r="G52" s="28" t="s">
        <v>141</v>
      </c>
      <c r="H52" s="91">
        <f t="shared" si="14"/>
        <v>6.9758652340586355E-2</v>
      </c>
      <c r="I52" s="91">
        <f t="shared" si="19"/>
        <v>0.16210008203445445</v>
      </c>
      <c r="J52" s="91">
        <f t="shared" si="20"/>
        <v>0.24998093074207814</v>
      </c>
      <c r="L52" s="28" t="s">
        <v>141</v>
      </c>
      <c r="M52" s="87"/>
      <c r="N52" s="94">
        <f t="shared" si="15"/>
        <v>1.6</v>
      </c>
      <c r="O52" s="94">
        <f t="shared" si="15"/>
        <v>0.8341509883305549</v>
      </c>
      <c r="Q52" s="28" t="s">
        <v>141</v>
      </c>
      <c r="R52" s="90"/>
      <c r="S52" s="84">
        <f t="shared" si="16"/>
        <v>206.71999999999997</v>
      </c>
      <c r="T52" s="84">
        <f t="shared" si="16"/>
        <v>280.20799999999997</v>
      </c>
    </row>
    <row r="53" spans="2:20" s="28" customFormat="1" x14ac:dyDescent="0.25">
      <c r="B53" s="30" t="s">
        <v>142</v>
      </c>
      <c r="C53" s="37">
        <f>+SUM(C49:C52)-C25</f>
        <v>742.5</v>
      </c>
      <c r="D53" s="37">
        <f t="shared" ref="D53" si="23">+SUM(D49:D52)-D25</f>
        <v>970.5</v>
      </c>
      <c r="E53" s="37">
        <f>SUM(E49:E52)</f>
        <v>1284.6999999999998</v>
      </c>
      <c r="G53" s="30" t="s">
        <v>142</v>
      </c>
      <c r="H53" s="80">
        <f t="shared" si="14"/>
        <v>0.40089627989849363</v>
      </c>
      <c r="I53" s="80">
        <f t="shared" si="19"/>
        <v>0.46832022390580508</v>
      </c>
      <c r="J53" s="80">
        <f t="shared" si="20"/>
        <v>0.52123990749381255</v>
      </c>
      <c r="L53" s="30" t="s">
        <v>142</v>
      </c>
      <c r="M53" s="92"/>
      <c r="N53" s="101">
        <f t="shared" si="15"/>
        <v>0.30707070707070705</v>
      </c>
      <c r="O53" s="101">
        <f t="shared" si="15"/>
        <v>0.32375064399793896</v>
      </c>
      <c r="Q53" s="30" t="s">
        <v>142</v>
      </c>
      <c r="R53" s="89"/>
      <c r="S53" s="85">
        <f t="shared" si="16"/>
        <v>228</v>
      </c>
      <c r="T53" s="85">
        <f t="shared" si="16"/>
        <v>314.19999999999982</v>
      </c>
    </row>
    <row r="54" spans="2:20" s="28" customFormat="1" x14ac:dyDescent="0.25">
      <c r="C54" s="34"/>
      <c r="D54" s="34"/>
      <c r="E54" s="34"/>
    </row>
    <row r="55" spans="2:20" s="28" customFormat="1" x14ac:dyDescent="0.25">
      <c r="B55" s="29" t="s">
        <v>143</v>
      </c>
      <c r="C55" s="58">
        <f>C32+C40-C45-C48-C53</f>
        <v>0</v>
      </c>
      <c r="D55" s="58">
        <f t="shared" ref="D55:E55" si="24">D32+D40-D45-D48-D53</f>
        <v>0</v>
      </c>
      <c r="E55" s="58">
        <f t="shared" si="24"/>
        <v>0</v>
      </c>
      <c r="G55" s="103" t="s">
        <v>217</v>
      </c>
      <c r="H55" s="104"/>
      <c r="I55" s="104"/>
      <c r="J55" s="104"/>
    </row>
    <row r="56" spans="2:20" x14ac:dyDescent="0.25">
      <c r="G56" s="24" t="s">
        <v>8</v>
      </c>
      <c r="H56" s="97" t="s">
        <v>112</v>
      </c>
      <c r="I56" s="97" t="s">
        <v>6</v>
      </c>
      <c r="J56" s="97" t="s">
        <v>7</v>
      </c>
    </row>
    <row r="57" spans="2:20" x14ac:dyDescent="0.25">
      <c r="B57" s="148" t="s">
        <v>144</v>
      </c>
      <c r="C57" s="147" t="s">
        <v>112</v>
      </c>
      <c r="D57" s="147" t="s">
        <v>6</v>
      </c>
      <c r="E57" s="147" t="s">
        <v>7</v>
      </c>
      <c r="G57" s="96" t="s">
        <v>213</v>
      </c>
      <c r="H57" s="100"/>
      <c r="I57" s="95"/>
      <c r="J57" s="95"/>
    </row>
    <row r="58" spans="2:20" x14ac:dyDescent="0.25">
      <c r="B58" s="3" t="s">
        <v>122</v>
      </c>
      <c r="C58" s="36">
        <f>+C22</f>
        <v>129.19999999999999</v>
      </c>
      <c r="D58" s="36">
        <f>+D22</f>
        <v>206.72</v>
      </c>
      <c r="E58" s="36">
        <f>+E22</f>
        <v>330.20799999999991</v>
      </c>
      <c r="G58" s="96" t="s">
        <v>215</v>
      </c>
      <c r="H58" s="100"/>
      <c r="I58" s="99"/>
      <c r="J58" s="99"/>
    </row>
    <row r="59" spans="2:20" x14ac:dyDescent="0.25">
      <c r="B59" s="3" t="s">
        <v>16</v>
      </c>
      <c r="C59" s="36">
        <f>+C25</f>
        <v>0</v>
      </c>
      <c r="D59" s="36">
        <f>-D25</f>
        <v>0</v>
      </c>
      <c r="E59" s="36">
        <f>-E25</f>
        <v>-50</v>
      </c>
      <c r="G59" s="96" t="s">
        <v>214</v>
      </c>
      <c r="H59" s="100"/>
      <c r="I59" s="98"/>
      <c r="J59" s="98"/>
    </row>
    <row r="60" spans="2:20" x14ac:dyDescent="0.25">
      <c r="B60" s="2" t="s">
        <v>145</v>
      </c>
      <c r="C60" s="48">
        <f>+C58-C59</f>
        <v>129.19999999999999</v>
      </c>
      <c r="D60" s="48">
        <f>+D58-D59</f>
        <v>206.72</v>
      </c>
      <c r="E60" s="48">
        <f>+E58+E59</f>
        <v>280.20799999999991</v>
      </c>
      <c r="G60" s="24" t="s">
        <v>153</v>
      </c>
      <c r="H60" s="97" t="s">
        <v>112</v>
      </c>
      <c r="I60" s="97" t="s">
        <v>6</v>
      </c>
      <c r="J60" s="97" t="s">
        <v>7</v>
      </c>
    </row>
    <row r="61" spans="2:20" x14ac:dyDescent="0.25">
      <c r="B61" s="3" t="s">
        <v>149</v>
      </c>
      <c r="C61" s="36">
        <f>+C50</f>
        <v>13.3</v>
      </c>
      <c r="D61" s="36">
        <f>+D50-C61</f>
        <v>21.279999999999998</v>
      </c>
      <c r="E61" s="36">
        <f>+E50-D50</f>
        <v>33.992000000000004</v>
      </c>
      <c r="G61" s="96" t="s">
        <v>213</v>
      </c>
      <c r="H61" s="100"/>
      <c r="I61" s="95"/>
      <c r="J61" s="95"/>
    </row>
    <row r="62" spans="2:20" x14ac:dyDescent="0.25">
      <c r="B62" s="3" t="s">
        <v>146</v>
      </c>
      <c r="C62" s="36">
        <f>+C49</f>
        <v>600</v>
      </c>
      <c r="D62" s="36">
        <f>+D49-C49</f>
        <v>0</v>
      </c>
      <c r="E62" s="36">
        <f>+E49-D49</f>
        <v>0</v>
      </c>
      <c r="G62" s="96" t="s">
        <v>216</v>
      </c>
      <c r="H62" s="100"/>
      <c r="I62" s="99"/>
      <c r="J62" s="99"/>
    </row>
    <row r="63" spans="2:20" x14ac:dyDescent="0.25">
      <c r="B63" s="3" t="s">
        <v>150</v>
      </c>
      <c r="C63" s="36">
        <f>+C51</f>
        <v>0</v>
      </c>
      <c r="D63" s="36">
        <f t="shared" ref="D63:E63" si="25">+D51</f>
        <v>0</v>
      </c>
      <c r="E63" s="36">
        <f t="shared" si="25"/>
        <v>0</v>
      </c>
      <c r="G63" s="96" t="s">
        <v>214</v>
      </c>
      <c r="H63" s="100"/>
      <c r="I63" s="98"/>
      <c r="J63" s="98"/>
    </row>
    <row r="64" spans="2:20" x14ac:dyDescent="0.25">
      <c r="B64" s="3" t="s">
        <v>147</v>
      </c>
      <c r="C64" s="120">
        <v>0</v>
      </c>
      <c r="D64" s="120">
        <f>+C65</f>
        <v>742.5</v>
      </c>
      <c r="E64" s="120">
        <f>D65</f>
        <v>970.5</v>
      </c>
      <c r="G64" s="24" t="s">
        <v>58</v>
      </c>
      <c r="H64" s="97" t="s">
        <v>112</v>
      </c>
      <c r="I64" s="97" t="s">
        <v>6</v>
      </c>
      <c r="J64" s="97" t="s">
        <v>7</v>
      </c>
    </row>
    <row r="65" spans="2:20" x14ac:dyDescent="0.25">
      <c r="B65" s="2" t="s">
        <v>148</v>
      </c>
      <c r="C65" s="48">
        <f>+SUM(C60:C64)</f>
        <v>742.5</v>
      </c>
      <c r="D65" s="48">
        <f>+SUM(D60:D64)</f>
        <v>970.5</v>
      </c>
      <c r="E65" s="48">
        <f>+SUM(E60:E64)</f>
        <v>1284.6999999999998</v>
      </c>
      <c r="G65" s="96" t="s">
        <v>213</v>
      </c>
      <c r="H65" s="100"/>
      <c r="I65" s="95"/>
      <c r="J65" s="95"/>
    </row>
    <row r="66" spans="2:20" x14ac:dyDescent="0.25">
      <c r="G66" s="96" t="s">
        <v>216</v>
      </c>
      <c r="H66" s="100"/>
      <c r="I66" s="99"/>
      <c r="J66" s="99"/>
    </row>
    <row r="67" spans="2:20" x14ac:dyDescent="0.25">
      <c r="B67" s="29" t="s">
        <v>151</v>
      </c>
      <c r="C67" s="58">
        <f>C65-C53</f>
        <v>0</v>
      </c>
      <c r="D67" s="58">
        <f t="shared" ref="D67:E67" si="26">D65-D53</f>
        <v>0</v>
      </c>
      <c r="E67" s="58">
        <f t="shared" si="26"/>
        <v>0</v>
      </c>
      <c r="G67" s="111" t="s">
        <v>214</v>
      </c>
      <c r="H67" s="112"/>
      <c r="I67" s="113"/>
      <c r="J67" s="113"/>
    </row>
    <row r="69" spans="2:20" x14ac:dyDescent="0.25">
      <c r="B69" s="148" t="s">
        <v>152</v>
      </c>
      <c r="C69" s="147" t="s">
        <v>112</v>
      </c>
      <c r="D69" s="147" t="s">
        <v>6</v>
      </c>
      <c r="E69" s="147" t="s">
        <v>7</v>
      </c>
      <c r="G69" s="103" t="s">
        <v>219</v>
      </c>
      <c r="H69" s="114"/>
      <c r="I69" s="114"/>
      <c r="J69" s="114"/>
    </row>
    <row r="70" spans="2:20" x14ac:dyDescent="0.25">
      <c r="B70" s="3" t="s">
        <v>122</v>
      </c>
      <c r="C70" s="49"/>
      <c r="D70" s="49">
        <f t="shared" ref="D70:E70" si="27">+D22</f>
        <v>206.72</v>
      </c>
      <c r="E70" s="49">
        <f t="shared" si="27"/>
        <v>330.20799999999991</v>
      </c>
      <c r="G70" s="5"/>
      <c r="H70" s="5"/>
      <c r="I70" s="5"/>
      <c r="J70" s="5"/>
    </row>
    <row r="71" spans="2:20" x14ac:dyDescent="0.25">
      <c r="B71" s="3" t="s">
        <v>16</v>
      </c>
      <c r="D71" s="36">
        <f>+D25</f>
        <v>0</v>
      </c>
      <c r="E71" s="36">
        <f>+-E25</f>
        <v>-50</v>
      </c>
      <c r="G71" s="5"/>
      <c r="H71" s="5"/>
      <c r="I71" s="5"/>
      <c r="J71" s="5"/>
      <c r="Q71" s="3">
        <v>100</v>
      </c>
      <c r="R71" s="3">
        <v>100</v>
      </c>
      <c r="S71" s="3">
        <v>100</v>
      </c>
      <c r="T71" s="3">
        <v>100</v>
      </c>
    </row>
    <row r="72" spans="2:20" x14ac:dyDescent="0.25">
      <c r="B72" s="3" t="s">
        <v>116</v>
      </c>
      <c r="D72" s="36">
        <f>+D13</f>
        <v>91</v>
      </c>
      <c r="E72" s="36">
        <f>+E13</f>
        <v>93</v>
      </c>
      <c r="G72" s="5"/>
      <c r="H72" s="5"/>
      <c r="I72" s="5"/>
      <c r="J72" s="5"/>
      <c r="Q72" s="3">
        <f t="shared" ref="Q72" si="28">+Q71*0.25</f>
        <v>25</v>
      </c>
      <c r="R72" s="3">
        <f t="shared" ref="R72" si="29">+R71*0.25</f>
        <v>25</v>
      </c>
      <c r="S72" s="3">
        <f t="shared" ref="S72" si="30">+S71*0.25</f>
        <v>25</v>
      </c>
      <c r="T72" s="3">
        <f t="shared" ref="T72" si="31">+T71*0.25</f>
        <v>25</v>
      </c>
    </row>
    <row r="73" spans="2:20" x14ac:dyDescent="0.25">
      <c r="B73" s="3" t="s">
        <v>124</v>
      </c>
      <c r="D73" s="36">
        <f>+D14</f>
        <v>25</v>
      </c>
      <c r="E73" s="36">
        <f>+E14</f>
        <v>26</v>
      </c>
      <c r="G73" s="5"/>
      <c r="H73" s="5"/>
      <c r="I73" s="5"/>
      <c r="J73" s="5"/>
    </row>
    <row r="74" spans="2:20" x14ac:dyDescent="0.25">
      <c r="B74" s="3" t="s">
        <v>8</v>
      </c>
      <c r="D74" s="49">
        <f t="shared" ref="D74:E76" si="32">+C29-D29</f>
        <v>-160</v>
      </c>
      <c r="E74" s="49">
        <f t="shared" si="32"/>
        <v>-158</v>
      </c>
      <c r="G74" s="5"/>
      <c r="H74" s="5"/>
      <c r="I74" s="5"/>
      <c r="J74" s="5"/>
    </row>
    <row r="75" spans="2:20" x14ac:dyDescent="0.25">
      <c r="B75" s="3" t="s">
        <v>153</v>
      </c>
      <c r="D75" s="49">
        <f t="shared" si="32"/>
        <v>-130</v>
      </c>
      <c r="E75" s="49">
        <f t="shared" si="32"/>
        <v>-50</v>
      </c>
      <c r="G75" s="5"/>
      <c r="H75" s="5"/>
      <c r="I75" s="5"/>
      <c r="J75" s="5"/>
    </row>
    <row r="76" spans="2:20" x14ac:dyDescent="0.25">
      <c r="B76" s="3" t="s">
        <v>11</v>
      </c>
      <c r="D76" s="49">
        <f t="shared" si="32"/>
        <v>-20</v>
      </c>
      <c r="E76" s="49">
        <f t="shared" si="32"/>
        <v>-49</v>
      </c>
      <c r="G76" s="5"/>
      <c r="H76" s="5"/>
      <c r="I76" s="5"/>
      <c r="J76" s="5"/>
    </row>
    <row r="77" spans="2:20" x14ac:dyDescent="0.25">
      <c r="B77" s="3" t="s">
        <v>12</v>
      </c>
      <c r="D77" s="49">
        <f>+D43-C43</f>
        <v>60</v>
      </c>
      <c r="E77" s="49">
        <f>+E43-D43</f>
        <v>10</v>
      </c>
      <c r="G77" s="5"/>
      <c r="H77" s="5"/>
      <c r="I77" s="5"/>
      <c r="J77" s="5"/>
    </row>
    <row r="78" spans="2:20" x14ac:dyDescent="0.25">
      <c r="B78" s="3" t="s">
        <v>13</v>
      </c>
      <c r="D78" s="49">
        <f>+D44-C44</f>
        <v>-50</v>
      </c>
      <c r="E78" s="49">
        <f>+E44-D44</f>
        <v>42</v>
      </c>
      <c r="G78" s="5"/>
      <c r="H78" s="5"/>
      <c r="I78" s="5"/>
      <c r="J78" s="5"/>
    </row>
    <row r="79" spans="2:20" x14ac:dyDescent="0.25">
      <c r="B79" s="2" t="s">
        <v>154</v>
      </c>
      <c r="C79" s="60"/>
      <c r="D79" s="48">
        <f>SUM(D70:D78)</f>
        <v>22.720000000000027</v>
      </c>
      <c r="E79" s="48">
        <f>SUM(E70:E78)</f>
        <v>194.20799999999991</v>
      </c>
      <c r="G79" s="5"/>
      <c r="H79" s="5"/>
      <c r="I79" s="5"/>
      <c r="J79" s="5"/>
    </row>
    <row r="80" spans="2:20" x14ac:dyDescent="0.25">
      <c r="B80" s="3" t="s">
        <v>129</v>
      </c>
      <c r="D80" s="49">
        <f>+C33-D33</f>
        <v>-110</v>
      </c>
      <c r="E80" s="49">
        <f>+D33-E33</f>
        <v>-20</v>
      </c>
      <c r="G80" s="5"/>
      <c r="H80" s="5"/>
      <c r="I80" s="5"/>
      <c r="J80" s="5"/>
    </row>
    <row r="81" spans="2:10" x14ac:dyDescent="0.25">
      <c r="B81" s="3" t="s">
        <v>155</v>
      </c>
      <c r="D81" s="49">
        <f>+C36-D36</f>
        <v>-20</v>
      </c>
      <c r="E81" s="49">
        <f>+D36-E36</f>
        <v>-10</v>
      </c>
      <c r="G81" s="5"/>
      <c r="H81" s="5"/>
      <c r="I81" s="5"/>
      <c r="J81" s="5"/>
    </row>
    <row r="82" spans="2:10" x14ac:dyDescent="0.25">
      <c r="B82" s="3" t="s">
        <v>10</v>
      </c>
      <c r="D82" s="49">
        <f>+C39-D39</f>
        <v>-8.75</v>
      </c>
      <c r="E82" s="49">
        <f>+D39-E39</f>
        <v>-49</v>
      </c>
      <c r="G82" s="5"/>
      <c r="H82" s="5"/>
      <c r="I82" s="5"/>
      <c r="J82" s="5"/>
    </row>
    <row r="83" spans="2:10" x14ac:dyDescent="0.25">
      <c r="B83" s="2" t="s">
        <v>156</v>
      </c>
      <c r="C83" s="60"/>
      <c r="D83" s="48">
        <f>+SUM(D79:D82)</f>
        <v>-116.02999999999997</v>
      </c>
      <c r="E83" s="48">
        <f>+SUM(E79:E82)</f>
        <v>115.20799999999991</v>
      </c>
      <c r="G83" s="5"/>
      <c r="H83" s="5"/>
      <c r="I83" s="5"/>
      <c r="J83" s="5"/>
    </row>
    <row r="84" spans="2:10" x14ac:dyDescent="0.25">
      <c r="B84" s="3" t="s">
        <v>157</v>
      </c>
      <c r="D84" s="49">
        <f>+D41-C41</f>
        <v>-48</v>
      </c>
      <c r="E84" s="49">
        <f>+E41-D41</f>
        <v>38</v>
      </c>
      <c r="G84" s="5"/>
      <c r="H84" s="5"/>
      <c r="I84" s="5"/>
      <c r="J84" s="5"/>
    </row>
    <row r="85" spans="2:10" x14ac:dyDescent="0.25">
      <c r="B85" s="3" t="s">
        <v>38</v>
      </c>
      <c r="D85" s="36">
        <f>+-C42</f>
        <v>-60</v>
      </c>
      <c r="E85" s="36">
        <f>+-D42</f>
        <v>-70</v>
      </c>
    </row>
    <row r="86" spans="2:10" x14ac:dyDescent="0.25">
      <c r="B86" s="3" t="s">
        <v>158</v>
      </c>
      <c r="D86" s="49">
        <f>+D42+D46-C46</f>
        <v>148.19999999999993</v>
      </c>
      <c r="E86" s="49">
        <f>+E42+E46-D46</f>
        <v>10.199999999999989</v>
      </c>
    </row>
    <row r="87" spans="2:10" x14ac:dyDescent="0.25">
      <c r="B87" s="3" t="s">
        <v>159</v>
      </c>
      <c r="D87" s="49">
        <f>+D47-C47</f>
        <v>-58</v>
      </c>
      <c r="E87" s="49">
        <f>+E47-D47</f>
        <v>48</v>
      </c>
      <c r="G87" s="33"/>
    </row>
    <row r="88" spans="2:10" x14ac:dyDescent="0.25">
      <c r="B88" s="3" t="s">
        <v>15</v>
      </c>
      <c r="D88" s="49">
        <f t="shared" ref="D88:E90" si="33">+D49-C49</f>
        <v>0</v>
      </c>
      <c r="E88" s="49">
        <f t="shared" si="33"/>
        <v>0</v>
      </c>
      <c r="G88" s="33"/>
    </row>
    <row r="89" spans="2:10" x14ac:dyDescent="0.25">
      <c r="B89" s="3" t="s">
        <v>121</v>
      </c>
      <c r="D89" s="49">
        <f t="shared" si="33"/>
        <v>21.279999999999998</v>
      </c>
      <c r="E89" s="49">
        <f t="shared" si="33"/>
        <v>33.992000000000004</v>
      </c>
      <c r="G89" s="33" t="s">
        <v>220</v>
      </c>
    </row>
    <row r="90" spans="2:10" x14ac:dyDescent="0.25">
      <c r="B90" s="3" t="s">
        <v>32</v>
      </c>
      <c r="D90" s="49">
        <f t="shared" si="33"/>
        <v>0</v>
      </c>
      <c r="E90" s="49">
        <f t="shared" si="33"/>
        <v>0</v>
      </c>
      <c r="G90" s="33"/>
    </row>
    <row r="91" spans="2:10" x14ac:dyDescent="0.25">
      <c r="B91" s="2" t="s">
        <v>160</v>
      </c>
      <c r="C91" s="60"/>
      <c r="D91" s="48">
        <f>+SUM(D83:D90)</f>
        <v>-112.55000000000004</v>
      </c>
      <c r="E91" s="48">
        <f>+SUM(E83:E90)</f>
        <v>175.39999999999992</v>
      </c>
    </row>
    <row r="92" spans="2:10" x14ac:dyDescent="0.25">
      <c r="B92" s="3" t="s">
        <v>161</v>
      </c>
      <c r="D92" s="36">
        <f>+C28</f>
        <v>247.1</v>
      </c>
      <c r="E92" s="36">
        <f>+D28</f>
        <v>134.55000000000001</v>
      </c>
    </row>
    <row r="93" spans="2:10" x14ac:dyDescent="0.25">
      <c r="B93" s="2" t="s">
        <v>162</v>
      </c>
      <c r="C93" s="60"/>
      <c r="D93" s="48">
        <f>+D91+D92</f>
        <v>134.54999999999995</v>
      </c>
      <c r="E93" s="48">
        <f>+E91+E92</f>
        <v>309.94999999999993</v>
      </c>
    </row>
  </sheetData>
  <mergeCells count="1">
    <mergeCell ref="B2:E2"/>
  </mergeCells>
  <pageMargins left="0.7" right="0.7" top="0.75" bottom="0.75" header="0.3" footer="0.3"/>
  <pageSetup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9"/>
  <sheetViews>
    <sheetView showGridLines="0" workbookViewId="0">
      <selection activeCell="D32" sqref="D32"/>
    </sheetView>
  </sheetViews>
  <sheetFormatPr baseColWidth="10" defaultColWidth="11.42578125" defaultRowHeight="14.25" outlineLevelRow="1" x14ac:dyDescent="0.25"/>
  <cols>
    <col min="1" max="1" width="4.140625" style="5" customWidth="1"/>
    <col min="2" max="2" width="13" style="5" customWidth="1"/>
    <col min="3" max="3" width="25.140625" style="5" bestFit="1" customWidth="1"/>
    <col min="4" max="4" width="43.28515625" style="5" customWidth="1"/>
    <col min="5" max="5" width="50.85546875" style="5" customWidth="1"/>
    <col min="6" max="8" width="7.5703125" style="5" customWidth="1"/>
    <col min="9" max="9" width="21.140625" style="61" customWidth="1"/>
    <col min="10" max="10" width="11.42578125" style="5"/>
    <col min="11" max="11" width="17.28515625" style="5" bestFit="1" customWidth="1"/>
    <col min="12" max="16384" width="11.42578125" style="5"/>
  </cols>
  <sheetData>
    <row r="2" spans="2:10" x14ac:dyDescent="0.25">
      <c r="B2" s="152" t="s">
        <v>234</v>
      </c>
      <c r="C2" s="152"/>
      <c r="D2" s="152"/>
      <c r="E2" s="152"/>
    </row>
    <row r="3" spans="2:10" x14ac:dyDescent="0.25">
      <c r="B3" s="66" t="s">
        <v>164</v>
      </c>
      <c r="C3" s="67"/>
      <c r="D3" s="67"/>
      <c r="E3" s="67"/>
      <c r="F3" s="67"/>
      <c r="G3" s="67"/>
      <c r="H3" s="67"/>
      <c r="I3" s="68"/>
    </row>
    <row r="4" spans="2:10" x14ac:dyDescent="0.25">
      <c r="B4" s="69"/>
      <c r="C4" s="33"/>
      <c r="D4" s="33"/>
      <c r="E4" s="33"/>
      <c r="F4" s="33"/>
      <c r="G4" s="33"/>
      <c r="H4" s="33"/>
      <c r="I4" s="70"/>
    </row>
    <row r="5" spans="2:10" x14ac:dyDescent="0.25">
      <c r="B5" s="143" t="s">
        <v>82</v>
      </c>
      <c r="C5" s="143" t="s">
        <v>167</v>
      </c>
      <c r="D5" s="143" t="s">
        <v>168</v>
      </c>
      <c r="E5" s="145" t="s">
        <v>169</v>
      </c>
      <c r="F5" s="144" t="s">
        <v>112</v>
      </c>
      <c r="G5" s="144" t="s">
        <v>6</v>
      </c>
      <c r="H5" s="144" t="s">
        <v>7</v>
      </c>
      <c r="I5" s="145" t="s">
        <v>170</v>
      </c>
    </row>
    <row r="6" spans="2:10" x14ac:dyDescent="0.25">
      <c r="B6" s="75" t="s">
        <v>172</v>
      </c>
      <c r="C6" s="76"/>
      <c r="D6" s="76"/>
      <c r="E6" s="124"/>
      <c r="F6" s="75"/>
      <c r="G6" s="76"/>
      <c r="H6" s="76"/>
      <c r="I6" s="77"/>
    </row>
    <row r="7" spans="2:10" outlineLevel="1" x14ac:dyDescent="0.25">
      <c r="B7" s="3"/>
      <c r="C7" s="3" t="s">
        <v>173</v>
      </c>
      <c r="D7" s="3" t="s">
        <v>174</v>
      </c>
      <c r="E7" s="5" t="s">
        <v>202</v>
      </c>
      <c r="F7" s="83">
        <f>+EEFF!C15/EEFF!C7</f>
        <v>0.1</v>
      </c>
      <c r="G7" s="83">
        <f>+EEFF!D15/EEFF!D7</f>
        <v>0.12413793103448276</v>
      </c>
      <c r="H7" s="83">
        <f>+EEFF!E15/EEFF!E7</f>
        <v>0.15940070505287893</v>
      </c>
      <c r="I7" s="74" t="s">
        <v>163</v>
      </c>
      <c r="J7" s="33"/>
    </row>
    <row r="8" spans="2:10" outlineLevel="1" x14ac:dyDescent="0.25">
      <c r="B8" s="3"/>
      <c r="C8" s="3" t="s">
        <v>175</v>
      </c>
      <c r="D8" s="3" t="s">
        <v>176</v>
      </c>
      <c r="E8" s="5" t="s">
        <v>203</v>
      </c>
      <c r="F8" s="83">
        <f>+EEFF!C22/EEFF!C7</f>
        <v>5.383333333333333E-2</v>
      </c>
      <c r="G8" s="83">
        <f>+EEFF!D22/EEFF!D7</f>
        <v>7.1282758620689654E-2</v>
      </c>
      <c r="H8" s="83">
        <f>+EEFF!E22/EEFF!E7</f>
        <v>9.7005875440658029E-2</v>
      </c>
      <c r="I8" s="74" t="s">
        <v>163</v>
      </c>
      <c r="J8" s="33"/>
    </row>
    <row r="9" spans="2:10" outlineLevel="1" x14ac:dyDescent="0.25">
      <c r="B9" s="3"/>
      <c r="C9" s="3" t="s">
        <v>177</v>
      </c>
      <c r="D9" s="3" t="s">
        <v>178</v>
      </c>
      <c r="E9" s="5" t="s">
        <v>179</v>
      </c>
      <c r="F9" s="62">
        <f>+EEFF!C22/(EEFF!C32+EEFF!C40)</f>
        <v>6.9758652340586355E-2</v>
      </c>
      <c r="G9" s="62">
        <f>+EEFF!D22/(EEFF!D32+EEFF!D40)</f>
        <v>9.9753896636587361E-2</v>
      </c>
      <c r="H9" s="62">
        <f>+EEFF!E22/(EEFF!E32+EEFF!E40)</f>
        <v>0.13397492595447719</v>
      </c>
      <c r="I9" s="74" t="s">
        <v>163</v>
      </c>
      <c r="J9" s="33"/>
    </row>
    <row r="10" spans="2:10" outlineLevel="1" x14ac:dyDescent="0.25">
      <c r="B10" s="3"/>
      <c r="C10" s="3" t="s">
        <v>180</v>
      </c>
      <c r="D10" s="3" t="s">
        <v>181</v>
      </c>
      <c r="E10" s="5" t="s">
        <v>182</v>
      </c>
      <c r="F10" s="62">
        <f>+EEFF!C22/EEFF!C53</f>
        <v>0.174006734006734</v>
      </c>
      <c r="G10" s="62">
        <f>+EEFF!D22/EEFF!D53</f>
        <v>0.21300360638845955</v>
      </c>
      <c r="H10" s="62">
        <f>+EEFF!E22/EEFF!E53</f>
        <v>0.25703121351288233</v>
      </c>
      <c r="I10" s="74" t="s">
        <v>163</v>
      </c>
      <c r="J10" s="33"/>
    </row>
    <row r="11" spans="2:10" x14ac:dyDescent="0.25">
      <c r="B11" s="3"/>
      <c r="C11" s="3"/>
      <c r="D11" s="3"/>
      <c r="F11" s="62"/>
      <c r="G11" s="62"/>
      <c r="H11" s="62"/>
      <c r="I11" s="74"/>
      <c r="J11" s="33"/>
    </row>
    <row r="12" spans="2:10" x14ac:dyDescent="0.25">
      <c r="B12" s="3"/>
      <c r="C12" s="3"/>
      <c r="D12" s="3"/>
      <c r="F12" s="3"/>
      <c r="G12" s="62"/>
      <c r="H12" s="62"/>
      <c r="I12" s="74"/>
      <c r="J12" s="33"/>
    </row>
    <row r="13" spans="2:10" x14ac:dyDescent="0.25">
      <c r="B13" s="75" t="s">
        <v>183</v>
      </c>
      <c r="C13" s="76"/>
      <c r="D13" s="76"/>
      <c r="E13" s="124"/>
      <c r="F13" s="75"/>
      <c r="G13" s="76"/>
      <c r="H13" s="76"/>
      <c r="I13" s="77"/>
    </row>
    <row r="14" spans="2:10" outlineLevel="1" x14ac:dyDescent="0.25">
      <c r="B14" s="3"/>
      <c r="C14" s="3" t="s">
        <v>184</v>
      </c>
      <c r="D14" s="3" t="s">
        <v>185</v>
      </c>
      <c r="E14" s="5" t="s">
        <v>186</v>
      </c>
      <c r="F14" s="63">
        <f>+EEFF!C32/EEFF!C45</f>
        <v>1.5366319444444445</v>
      </c>
      <c r="G14" s="63">
        <f>+EEFF!D32/EEFF!D45</f>
        <v>1.975456204379562</v>
      </c>
      <c r="H14" s="63">
        <f>+EEFF!E32/EEFF!E45</f>
        <v>2.3671093750000001</v>
      </c>
      <c r="I14" s="74" t="s">
        <v>163</v>
      </c>
    </row>
    <row r="15" spans="2:10" outlineLevel="1" x14ac:dyDescent="0.25">
      <c r="B15" s="3"/>
      <c r="C15" s="3" t="s">
        <v>187</v>
      </c>
      <c r="D15" s="3" t="s">
        <v>188</v>
      </c>
      <c r="E15" s="5" t="s">
        <v>186</v>
      </c>
      <c r="F15" s="63">
        <f>+(EEFF!C28+EEFF!C29)/EEFF!C45</f>
        <v>1.1755208333333333</v>
      </c>
      <c r="G15" s="63">
        <f>+(EEFF!D28+EEFF!D29)/EEFF!D45</f>
        <v>1.3221715328467152</v>
      </c>
      <c r="H15" s="63">
        <f>+(EEFF!E28+EEFF!E29)/EEFF!E45</f>
        <v>1.653046875</v>
      </c>
      <c r="I15" s="74" t="s">
        <v>163</v>
      </c>
    </row>
    <row r="16" spans="2:10" x14ac:dyDescent="0.25">
      <c r="B16" s="3"/>
      <c r="C16" s="3"/>
      <c r="D16" s="3"/>
      <c r="F16" s="63"/>
      <c r="G16" s="63"/>
      <c r="H16" s="63"/>
      <c r="I16" s="74"/>
    </row>
    <row r="17" spans="1:11" x14ac:dyDescent="0.25">
      <c r="B17" s="75" t="s">
        <v>189</v>
      </c>
      <c r="C17" s="76"/>
      <c r="D17" s="76"/>
      <c r="E17" s="124"/>
      <c r="F17" s="75"/>
      <c r="G17" s="76"/>
      <c r="H17" s="76"/>
      <c r="I17" s="77"/>
    </row>
    <row r="18" spans="1:11" outlineLevel="1" x14ac:dyDescent="0.25">
      <c r="B18" s="3"/>
      <c r="C18" s="3" t="s">
        <v>190</v>
      </c>
      <c r="D18" s="3" t="s">
        <v>191</v>
      </c>
      <c r="E18" s="5" t="s">
        <v>192</v>
      </c>
      <c r="F18" s="110">
        <f>+(EEFF!C45+EEFF!C48)/EEFF!C53</f>
        <v>1.4944107744107742</v>
      </c>
      <c r="G18" s="110">
        <f>+(EEFF!D45+EEFF!D48)/EEFF!D53</f>
        <v>1.1352910870685213</v>
      </c>
      <c r="H18" s="110">
        <f>+(EEFF!E45+EEFF!E48)/EEFF!E53</f>
        <v>0.91850237409511959</v>
      </c>
      <c r="I18" s="74" t="s">
        <v>163</v>
      </c>
      <c r="J18" s="64"/>
    </row>
    <row r="19" spans="1:11" s="22" customFormat="1" outlineLevel="1" x14ac:dyDescent="0.25">
      <c r="B19" s="3"/>
      <c r="C19" s="3" t="s">
        <v>193</v>
      </c>
      <c r="D19" s="3" t="s">
        <v>212</v>
      </c>
      <c r="E19" s="5" t="s">
        <v>194</v>
      </c>
      <c r="F19" s="110">
        <f>+EEFF!C24/(EEFF!C16+EEFF!C41+EEFF!C42)</f>
        <v>1.3943089430894309</v>
      </c>
      <c r="G19" s="110">
        <f>+EEFF!D24/(EEFF!D16+EEFF!D41+EEFF!D42)</f>
        <v>2.1834862385321099</v>
      </c>
      <c r="H19" s="110">
        <f>+EEFF!E24/(EEFF!E16+EEFF!E41+EEFF!E42)</f>
        <v>2.6150197628458494</v>
      </c>
      <c r="I19" s="74" t="s">
        <v>163</v>
      </c>
    </row>
    <row r="20" spans="1:11" s="22" customFormat="1" x14ac:dyDescent="0.25">
      <c r="B20" s="3"/>
      <c r="C20" s="3"/>
      <c r="D20" s="3"/>
      <c r="E20" s="5"/>
      <c r="F20" s="3"/>
      <c r="G20" s="63"/>
      <c r="H20" s="63"/>
      <c r="I20" s="74"/>
    </row>
    <row r="21" spans="1:11" x14ac:dyDescent="0.25">
      <c r="B21" s="75" t="s">
        <v>85</v>
      </c>
      <c r="C21" s="76"/>
      <c r="D21" s="76"/>
      <c r="E21" s="124"/>
      <c r="F21" s="75"/>
      <c r="G21" s="76"/>
      <c r="H21" s="76"/>
      <c r="I21" s="77"/>
    </row>
    <row r="22" spans="1:11" outlineLevel="1" x14ac:dyDescent="0.25">
      <c r="A22" s="33"/>
      <c r="B22" s="3"/>
      <c r="C22" s="3" t="s">
        <v>195</v>
      </c>
      <c r="D22" s="3" t="s">
        <v>196</v>
      </c>
      <c r="E22" s="5" t="s">
        <v>197</v>
      </c>
      <c r="F22" s="3"/>
      <c r="G22" s="108">
        <f>(((EEFF!D29+EEFF!C29)/2)*365)/EEFF!D7</f>
        <v>64.189655172413794</v>
      </c>
      <c r="H22" s="108">
        <f>(((EEFF!E29+EEFF!D29)/2)*365)/EEFF!E7</f>
        <v>71.734723854289072</v>
      </c>
      <c r="I22" s="74" t="s">
        <v>163</v>
      </c>
    </row>
    <row r="23" spans="1:11" outlineLevel="1" x14ac:dyDescent="0.25">
      <c r="A23" s="33"/>
      <c r="B23" s="3"/>
      <c r="C23" s="3" t="s">
        <v>198</v>
      </c>
      <c r="D23" s="3" t="s">
        <v>199</v>
      </c>
      <c r="E23" s="5" t="s">
        <v>200</v>
      </c>
      <c r="F23" s="3"/>
      <c r="G23" s="109">
        <f>EEFF!D8/(AVERAGE(EEFF!C30:D30))</f>
        <v>7.1574468085106382</v>
      </c>
      <c r="H23" s="109">
        <f>EEFF!E8/(AVERAGE(EEFF!D30:E30))</f>
        <v>5.8990769230769233</v>
      </c>
      <c r="I23" s="74" t="s">
        <v>163</v>
      </c>
    </row>
    <row r="24" spans="1:11" x14ac:dyDescent="0.25">
      <c r="H24" s="65"/>
    </row>
    <row r="25" spans="1:11" x14ac:dyDescent="0.25">
      <c r="H25" s="117"/>
      <c r="K25" s="73" t="s">
        <v>201</v>
      </c>
    </row>
    <row r="26" spans="1:11" x14ac:dyDescent="0.25">
      <c r="K26" s="71" t="s">
        <v>163</v>
      </c>
    </row>
    <row r="27" spans="1:11" x14ac:dyDescent="0.25">
      <c r="K27" s="72" t="s">
        <v>165</v>
      </c>
    </row>
    <row r="28" spans="1:11" x14ac:dyDescent="0.25">
      <c r="K28" s="72" t="s">
        <v>166</v>
      </c>
    </row>
    <row r="29" spans="1:11" x14ac:dyDescent="0.25">
      <c r="K29" s="72" t="s">
        <v>171</v>
      </c>
    </row>
  </sheetData>
  <mergeCells count="1">
    <mergeCell ref="B2:E2"/>
  </mergeCells>
  <dataValidations count="1">
    <dataValidation type="list" allowBlank="1" showInputMessage="1" showErrorMessage="1" sqref="I22:I23 I14:I16 I18:I20 I7:I12" xr:uid="{00000000-0002-0000-0200-000000000000}">
      <formula1>$K$26:$K$29</formula1>
    </dataValidation>
  </dataValidations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4049-B91F-43AD-855F-2B73B68B5530}">
  <dimension ref="B2:T26"/>
  <sheetViews>
    <sheetView workbookViewId="0">
      <selection activeCell="P9" sqref="P9"/>
    </sheetView>
  </sheetViews>
  <sheetFormatPr baseColWidth="10" defaultRowHeight="15" x14ac:dyDescent="0.25"/>
  <cols>
    <col min="3" max="3" width="17.5703125" bestFit="1" customWidth="1"/>
    <col min="4" max="4" width="22.42578125" bestFit="1" customWidth="1"/>
    <col min="5" max="5" width="12.5703125" bestFit="1" customWidth="1"/>
    <col min="6" max="6" width="12.85546875" bestFit="1" customWidth="1"/>
    <col min="7" max="7" width="25.140625" bestFit="1" customWidth="1"/>
    <col min="8" max="8" width="19" bestFit="1" customWidth="1"/>
    <col min="9" max="9" width="13.7109375" customWidth="1"/>
    <col min="10" max="10" width="9.140625" bestFit="1" customWidth="1"/>
    <col min="11" max="11" width="21.42578125" bestFit="1" customWidth="1"/>
    <col min="15" max="15" width="20.42578125" bestFit="1" customWidth="1"/>
    <col min="19" max="19" width="11.42578125" customWidth="1"/>
  </cols>
  <sheetData>
    <row r="2" spans="2:20" x14ac:dyDescent="0.25">
      <c r="B2" s="125" t="s">
        <v>222</v>
      </c>
      <c r="C2" s="125" t="s">
        <v>82</v>
      </c>
      <c r="D2" s="125" t="s">
        <v>223</v>
      </c>
      <c r="F2" s="125" t="s">
        <v>222</v>
      </c>
      <c r="G2" s="125" t="s">
        <v>229</v>
      </c>
      <c r="H2" s="125" t="s">
        <v>230</v>
      </c>
      <c r="J2" s="132" t="s">
        <v>222</v>
      </c>
      <c r="K2" s="133" t="s">
        <v>231</v>
      </c>
      <c r="L2" s="134" t="s">
        <v>230</v>
      </c>
      <c r="N2" s="135" t="s">
        <v>222</v>
      </c>
      <c r="O2" s="137" t="s">
        <v>82</v>
      </c>
      <c r="P2" s="138" t="s">
        <v>223</v>
      </c>
      <c r="R2" s="132" t="s">
        <v>222</v>
      </c>
      <c r="S2" s="133" t="s">
        <v>82</v>
      </c>
      <c r="T2" s="134" t="s">
        <v>223</v>
      </c>
    </row>
    <row r="3" spans="2:20" x14ac:dyDescent="0.25">
      <c r="B3" s="126">
        <v>2023</v>
      </c>
      <c r="C3" t="s">
        <v>0</v>
      </c>
      <c r="D3" s="40">
        <v>2400</v>
      </c>
      <c r="F3" s="125">
        <v>2023</v>
      </c>
      <c r="G3" t="s">
        <v>173</v>
      </c>
      <c r="H3" s="129">
        <f>'Ratios'!F7</f>
        <v>0.1</v>
      </c>
      <c r="J3" s="136">
        <v>2024</v>
      </c>
      <c r="K3" s="3" t="s">
        <v>195</v>
      </c>
      <c r="L3" s="131">
        <f>'Ratios'!G22</f>
        <v>64.189655172413794</v>
      </c>
      <c r="N3" s="125">
        <v>2023</v>
      </c>
      <c r="O3" t="s">
        <v>128</v>
      </c>
      <c r="P3">
        <v>855</v>
      </c>
      <c r="R3">
        <v>2023</v>
      </c>
      <c r="S3" t="s">
        <v>123</v>
      </c>
      <c r="T3">
        <v>343</v>
      </c>
    </row>
    <row r="4" spans="2:20" x14ac:dyDescent="0.25">
      <c r="B4" s="126">
        <v>2023</v>
      </c>
      <c r="C4" t="s">
        <v>113</v>
      </c>
      <c r="D4" s="40">
        <v>1440</v>
      </c>
      <c r="F4" s="125">
        <v>2023</v>
      </c>
      <c r="G4" s="3" t="s">
        <v>175</v>
      </c>
      <c r="H4" s="129">
        <f>'Ratios'!F8</f>
        <v>5.383333333333333E-2</v>
      </c>
      <c r="J4" s="136">
        <v>2024</v>
      </c>
      <c r="K4" s="3" t="s">
        <v>198</v>
      </c>
      <c r="L4" s="131">
        <f>'Ratios'!G23</f>
        <v>7.1574468085106382</v>
      </c>
      <c r="N4" s="125">
        <v>2023</v>
      </c>
      <c r="O4" t="s">
        <v>135</v>
      </c>
      <c r="P4">
        <v>967</v>
      </c>
      <c r="R4">
        <v>2024</v>
      </c>
      <c r="S4" t="s">
        <v>123</v>
      </c>
      <c r="T4">
        <v>476</v>
      </c>
    </row>
    <row r="5" spans="2:20" x14ac:dyDescent="0.25">
      <c r="B5" s="126">
        <v>2023</v>
      </c>
      <c r="C5" t="s">
        <v>224</v>
      </c>
      <c r="D5">
        <v>129</v>
      </c>
      <c r="F5" s="125">
        <v>2023</v>
      </c>
      <c r="G5" s="3" t="s">
        <v>177</v>
      </c>
      <c r="H5" s="129">
        <f>'Ratios'!F9</f>
        <v>6.9758652340586355E-2</v>
      </c>
      <c r="J5" s="136">
        <v>2025</v>
      </c>
      <c r="K5" s="3" t="s">
        <v>195</v>
      </c>
      <c r="L5" s="131">
        <f>'Ratios'!H22</f>
        <v>71.734723854289072</v>
      </c>
      <c r="N5" s="125">
        <v>2023</v>
      </c>
      <c r="O5" t="s">
        <v>138</v>
      </c>
      <c r="P5">
        <v>576</v>
      </c>
      <c r="R5">
        <v>2025</v>
      </c>
      <c r="S5" t="s">
        <v>123</v>
      </c>
      <c r="T5">
        <v>662</v>
      </c>
    </row>
    <row r="6" spans="2:20" x14ac:dyDescent="0.25">
      <c r="B6" s="126">
        <v>2024</v>
      </c>
      <c r="C6" t="s">
        <v>0</v>
      </c>
      <c r="D6">
        <v>2900</v>
      </c>
      <c r="F6" s="125">
        <v>2023</v>
      </c>
      <c r="G6" s="3" t="s">
        <v>180</v>
      </c>
      <c r="H6" s="129">
        <f>'Ratios'!F10</f>
        <v>0.174006734006734</v>
      </c>
      <c r="J6" s="136">
        <v>2025</v>
      </c>
      <c r="K6" s="3" t="s">
        <v>198</v>
      </c>
      <c r="L6" s="131">
        <f>'Ratios'!H23</f>
        <v>5.8990769230769233</v>
      </c>
      <c r="N6" s="125">
        <v>2023</v>
      </c>
      <c r="O6" t="s">
        <v>140</v>
      </c>
      <c r="P6">
        <v>534</v>
      </c>
    </row>
    <row r="7" spans="2:20" x14ac:dyDescent="0.25">
      <c r="B7" s="126">
        <v>2024</v>
      </c>
      <c r="C7" t="s">
        <v>113</v>
      </c>
      <c r="D7">
        <v>1682</v>
      </c>
      <c r="F7" s="125">
        <v>2023</v>
      </c>
      <c r="G7" s="3" t="s">
        <v>184</v>
      </c>
      <c r="H7" s="130">
        <f>'Ratios'!F14</f>
        <v>1.5366319444444445</v>
      </c>
      <c r="N7" s="125">
        <v>2023</v>
      </c>
      <c r="O7" t="s">
        <v>142</v>
      </c>
      <c r="P7">
        <v>743</v>
      </c>
    </row>
    <row r="8" spans="2:20" x14ac:dyDescent="0.25">
      <c r="B8" s="126">
        <v>2024</v>
      </c>
      <c r="C8" t="s">
        <v>224</v>
      </c>
      <c r="D8">
        <v>207</v>
      </c>
      <c r="F8" s="125">
        <v>2023</v>
      </c>
      <c r="G8" s="3" t="s">
        <v>187</v>
      </c>
      <c r="H8" s="130">
        <f>'Ratios'!F15</f>
        <v>1.1755208333333333</v>
      </c>
      <c r="N8" s="125">
        <v>2024</v>
      </c>
      <c r="O8" t="s">
        <v>128</v>
      </c>
      <c r="P8">
        <v>1083</v>
      </c>
    </row>
    <row r="9" spans="2:20" x14ac:dyDescent="0.25">
      <c r="B9" s="126">
        <v>2025</v>
      </c>
      <c r="C9" t="s">
        <v>0</v>
      </c>
      <c r="D9">
        <v>3404</v>
      </c>
      <c r="F9" s="125">
        <v>2023</v>
      </c>
      <c r="G9" s="3" t="s">
        <v>190</v>
      </c>
      <c r="H9" s="130">
        <f>'Ratios'!F18</f>
        <v>1.4944107744107742</v>
      </c>
      <c r="N9" s="125">
        <v>2024</v>
      </c>
      <c r="O9" t="s">
        <v>135</v>
      </c>
      <c r="P9">
        <v>990</v>
      </c>
    </row>
    <row r="10" spans="2:20" x14ac:dyDescent="0.25">
      <c r="B10" s="126">
        <v>2025</v>
      </c>
      <c r="C10" t="s">
        <v>113</v>
      </c>
      <c r="D10">
        <v>1917</v>
      </c>
      <c r="F10" s="125">
        <v>2023</v>
      </c>
      <c r="G10" s="3" t="s">
        <v>193</v>
      </c>
      <c r="H10" s="130">
        <f>'Ratios'!F19</f>
        <v>1.3943089430894309</v>
      </c>
      <c r="N10" s="125">
        <v>2024</v>
      </c>
      <c r="O10" t="s">
        <v>138</v>
      </c>
      <c r="P10">
        <v>548</v>
      </c>
    </row>
    <row r="11" spans="2:20" x14ac:dyDescent="0.25">
      <c r="B11" s="126">
        <v>2025</v>
      </c>
      <c r="C11" t="s">
        <v>224</v>
      </c>
      <c r="D11">
        <v>330</v>
      </c>
      <c r="F11" s="125">
        <v>2024</v>
      </c>
      <c r="G11" t="s">
        <v>173</v>
      </c>
      <c r="H11" s="129">
        <f>'Ratios'!G7</f>
        <v>0.12413793103448276</v>
      </c>
      <c r="N11" s="125">
        <v>2024</v>
      </c>
      <c r="O11" t="s">
        <v>140</v>
      </c>
      <c r="P11">
        <v>554</v>
      </c>
    </row>
    <row r="12" spans="2:20" x14ac:dyDescent="0.25">
      <c r="F12" s="125">
        <v>2024</v>
      </c>
      <c r="G12" s="3" t="s">
        <v>175</v>
      </c>
      <c r="H12" s="129">
        <f>'Ratios'!G8</f>
        <v>7.1282758620689654E-2</v>
      </c>
      <c r="N12" s="125">
        <v>2024</v>
      </c>
      <c r="O12" t="s">
        <v>142</v>
      </c>
      <c r="P12">
        <v>971</v>
      </c>
    </row>
    <row r="13" spans="2:20" x14ac:dyDescent="0.25">
      <c r="F13" s="125">
        <v>2024</v>
      </c>
      <c r="G13" s="3" t="s">
        <v>177</v>
      </c>
      <c r="H13" s="129">
        <f>'Ratios'!G9</f>
        <v>9.9753896636587361E-2</v>
      </c>
      <c r="N13" s="125">
        <v>2025</v>
      </c>
      <c r="O13" t="s">
        <v>128</v>
      </c>
      <c r="P13">
        <v>1515</v>
      </c>
    </row>
    <row r="14" spans="2:20" x14ac:dyDescent="0.25">
      <c r="F14" s="125">
        <v>2024</v>
      </c>
      <c r="G14" s="3" t="s">
        <v>180</v>
      </c>
      <c r="H14" s="129">
        <f>'Ratios'!G10</f>
        <v>0.21300360638845955</v>
      </c>
      <c r="N14" s="125">
        <v>2025</v>
      </c>
      <c r="O14" t="s">
        <v>135</v>
      </c>
      <c r="P14">
        <v>950</v>
      </c>
      <c r="R14" s="38"/>
      <c r="S14" s="38"/>
      <c r="T14" s="38"/>
    </row>
    <row r="15" spans="2:20" x14ac:dyDescent="0.25">
      <c r="F15" s="125">
        <v>2024</v>
      </c>
      <c r="G15" s="3" t="s">
        <v>184</v>
      </c>
      <c r="H15" s="130">
        <f>'Ratios'!G14</f>
        <v>1.975456204379562</v>
      </c>
      <c r="N15" s="125">
        <v>2025</v>
      </c>
      <c r="O15" t="s">
        <v>138</v>
      </c>
      <c r="P15">
        <v>640</v>
      </c>
    </row>
    <row r="16" spans="2:20" x14ac:dyDescent="0.25">
      <c r="F16" s="125">
        <v>2024</v>
      </c>
      <c r="G16" s="3" t="s">
        <v>187</v>
      </c>
      <c r="H16" s="130">
        <f>'Ratios'!G15</f>
        <v>1.3221715328467152</v>
      </c>
      <c r="N16" s="125">
        <v>2025</v>
      </c>
      <c r="O16" t="s">
        <v>140</v>
      </c>
      <c r="P16">
        <v>540</v>
      </c>
      <c r="R16" s="139"/>
      <c r="S16" s="139"/>
      <c r="T16" s="139"/>
    </row>
    <row r="17" spans="6:16" x14ac:dyDescent="0.25">
      <c r="F17" s="125">
        <v>2024</v>
      </c>
      <c r="G17" s="3" t="s">
        <v>190</v>
      </c>
      <c r="H17" s="130">
        <f>'Ratios'!G18</f>
        <v>1.1352910870685213</v>
      </c>
      <c r="N17" s="125">
        <v>2025</v>
      </c>
      <c r="O17" t="s">
        <v>142</v>
      </c>
      <c r="P17">
        <v>1285</v>
      </c>
    </row>
    <row r="18" spans="6:16" x14ac:dyDescent="0.25">
      <c r="F18" s="125">
        <v>2024</v>
      </c>
      <c r="G18" s="3" t="s">
        <v>193</v>
      </c>
      <c r="H18" s="130">
        <f>'Ratios'!G19</f>
        <v>2.1834862385321099</v>
      </c>
    </row>
    <row r="19" spans="6:16" x14ac:dyDescent="0.25">
      <c r="F19" s="125">
        <v>2025</v>
      </c>
      <c r="G19" t="s">
        <v>173</v>
      </c>
      <c r="H19" s="129">
        <f>'Ratios'!H7</f>
        <v>0.15940070505287893</v>
      </c>
    </row>
    <row r="20" spans="6:16" x14ac:dyDescent="0.25">
      <c r="F20" s="125">
        <v>2025</v>
      </c>
      <c r="G20" s="3" t="s">
        <v>175</v>
      </c>
      <c r="H20" s="129">
        <f>'Ratios'!H8</f>
        <v>9.7005875440658029E-2</v>
      </c>
    </row>
    <row r="21" spans="6:16" x14ac:dyDescent="0.25">
      <c r="F21" s="125">
        <v>2025</v>
      </c>
      <c r="G21" s="3" t="s">
        <v>177</v>
      </c>
      <c r="H21" s="129">
        <f>'Ratios'!H9</f>
        <v>0.13397492595447719</v>
      </c>
    </row>
    <row r="22" spans="6:16" x14ac:dyDescent="0.25">
      <c r="F22" s="125">
        <v>2025</v>
      </c>
      <c r="G22" s="3" t="s">
        <v>180</v>
      </c>
      <c r="H22" s="129">
        <f>'Ratios'!H10</f>
        <v>0.25703121351288233</v>
      </c>
    </row>
    <row r="23" spans="6:16" x14ac:dyDescent="0.25">
      <c r="F23" s="125">
        <v>2025</v>
      </c>
      <c r="G23" s="3" t="s">
        <v>184</v>
      </c>
      <c r="H23" s="130">
        <f>'Ratios'!H14</f>
        <v>2.3671093750000001</v>
      </c>
    </row>
    <row r="24" spans="6:16" x14ac:dyDescent="0.25">
      <c r="F24" s="125">
        <v>2025</v>
      </c>
      <c r="G24" s="3" t="s">
        <v>187</v>
      </c>
      <c r="H24" s="130">
        <f>'Ratios'!H15</f>
        <v>1.653046875</v>
      </c>
    </row>
    <row r="25" spans="6:16" x14ac:dyDescent="0.25">
      <c r="F25" s="125">
        <v>2025</v>
      </c>
      <c r="G25" s="3" t="s">
        <v>190</v>
      </c>
      <c r="H25" s="130">
        <f>'Ratios'!H18</f>
        <v>0.91850237409511959</v>
      </c>
    </row>
    <row r="26" spans="6:16" x14ac:dyDescent="0.25">
      <c r="F26" s="125">
        <v>2025</v>
      </c>
      <c r="G26" s="3" t="s">
        <v>193</v>
      </c>
      <c r="H26" s="130">
        <f>'Ratios'!H19</f>
        <v>2.6150197628458494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FC53-6BC5-49A2-9792-17FDB714B7CB}">
  <dimension ref="A2:Y31"/>
  <sheetViews>
    <sheetView zoomScale="90" zoomScaleNormal="90" workbookViewId="0">
      <selection activeCell="N24" sqref="N24"/>
    </sheetView>
  </sheetViews>
  <sheetFormatPr baseColWidth="10" defaultRowHeight="15" x14ac:dyDescent="0.25"/>
  <cols>
    <col min="1" max="1" width="19" bestFit="1" customWidth="1"/>
    <col min="2" max="2" width="22.42578125" bestFit="1" customWidth="1"/>
    <col min="3" max="3" width="8.42578125" bestFit="1" customWidth="1"/>
    <col min="4" max="4" width="12.85546875" bestFit="1" customWidth="1"/>
    <col min="7" max="7" width="17.5703125" bestFit="1" customWidth="1"/>
    <col min="8" max="8" width="22.42578125" bestFit="1" customWidth="1"/>
    <col min="9" max="9" width="19.28515625" bestFit="1" customWidth="1"/>
    <col min="10" max="11" width="7.42578125" bestFit="1" customWidth="1"/>
    <col min="12" max="12" width="13.28515625" bestFit="1" customWidth="1"/>
    <col min="13" max="13" width="21.140625" bestFit="1" customWidth="1"/>
    <col min="14" max="14" width="22.42578125" bestFit="1" customWidth="1"/>
    <col min="15" max="16" width="5.5703125" bestFit="1" customWidth="1"/>
    <col min="17" max="17" width="12.5703125" bestFit="1" customWidth="1"/>
    <col min="18" max="18" width="17.5703125" bestFit="1" customWidth="1"/>
    <col min="19" max="19" width="22.42578125" bestFit="1" customWidth="1"/>
    <col min="20" max="20" width="12.5703125" bestFit="1" customWidth="1"/>
    <col min="21" max="21" width="5" bestFit="1" customWidth="1"/>
    <col min="22" max="22" width="12.5703125" bestFit="1" customWidth="1"/>
    <col min="23" max="23" width="17.5703125" bestFit="1" customWidth="1"/>
    <col min="24" max="24" width="22.42578125" bestFit="1" customWidth="1"/>
    <col min="25" max="25" width="12.5703125" bestFit="1" customWidth="1"/>
    <col min="26" max="26" width="5" bestFit="1" customWidth="1"/>
    <col min="27" max="27" width="12.5703125" bestFit="1" customWidth="1"/>
    <col min="28" max="28" width="5" bestFit="1" customWidth="1"/>
    <col min="29" max="29" width="22.7109375" bestFit="1" customWidth="1"/>
    <col min="30" max="30" width="22.28515625" bestFit="1" customWidth="1"/>
    <col min="31" max="32" width="5" bestFit="1" customWidth="1"/>
    <col min="33" max="33" width="25.42578125" bestFit="1" customWidth="1"/>
  </cols>
  <sheetData>
    <row r="2" spans="1:25" x14ac:dyDescent="0.25">
      <c r="A2" s="127" t="s">
        <v>228</v>
      </c>
      <c r="B2" s="127" t="s">
        <v>226</v>
      </c>
      <c r="G2" s="127" t="s">
        <v>232</v>
      </c>
      <c r="H2" s="127" t="s">
        <v>226</v>
      </c>
      <c r="M2" s="127" t="s">
        <v>227</v>
      </c>
      <c r="N2" s="127" t="s">
        <v>226</v>
      </c>
      <c r="R2" s="127" t="s">
        <v>227</v>
      </c>
      <c r="S2" s="127" t="s">
        <v>226</v>
      </c>
      <c r="W2" s="127" t="s">
        <v>227</v>
      </c>
      <c r="X2" s="127" t="s">
        <v>226</v>
      </c>
    </row>
    <row r="3" spans="1:25" x14ac:dyDescent="0.25">
      <c r="A3" s="127" t="s">
        <v>225</v>
      </c>
      <c r="B3" t="s">
        <v>113</v>
      </c>
      <c r="C3" t="s">
        <v>0</v>
      </c>
      <c r="D3" t="s">
        <v>224</v>
      </c>
      <c r="G3" s="127" t="s">
        <v>225</v>
      </c>
      <c r="H3" t="s">
        <v>175</v>
      </c>
      <c r="I3" t="s">
        <v>173</v>
      </c>
      <c r="M3" s="127" t="s">
        <v>225</v>
      </c>
      <c r="N3">
        <v>2023</v>
      </c>
      <c r="O3">
        <v>2024</v>
      </c>
      <c r="P3">
        <v>2025</v>
      </c>
      <c r="R3" s="127" t="s">
        <v>225</v>
      </c>
      <c r="S3" t="s">
        <v>142</v>
      </c>
      <c r="W3" s="127" t="s">
        <v>225</v>
      </c>
      <c r="X3" t="s">
        <v>123</v>
      </c>
      <c r="Y3" t="s">
        <v>233</v>
      </c>
    </row>
    <row r="4" spans="1:25" x14ac:dyDescent="0.25">
      <c r="A4" s="128">
        <v>2023</v>
      </c>
      <c r="B4">
        <v>1440</v>
      </c>
      <c r="C4">
        <v>2400</v>
      </c>
      <c r="D4">
        <v>129</v>
      </c>
      <c r="G4" s="128">
        <v>2023</v>
      </c>
      <c r="H4" s="140">
        <v>5.383333333333333E-2</v>
      </c>
      <c r="I4" s="140">
        <v>0.1</v>
      </c>
      <c r="M4" s="128" t="s">
        <v>128</v>
      </c>
      <c r="N4" s="153">
        <v>855</v>
      </c>
      <c r="O4" s="153">
        <v>1083</v>
      </c>
      <c r="P4" s="153">
        <v>1515</v>
      </c>
      <c r="R4" s="128">
        <v>2023</v>
      </c>
      <c r="S4">
        <v>743</v>
      </c>
      <c r="W4" s="128">
        <v>2023</v>
      </c>
      <c r="X4">
        <v>343</v>
      </c>
      <c r="Y4">
        <v>343</v>
      </c>
    </row>
    <row r="5" spans="1:25" x14ac:dyDescent="0.25">
      <c r="A5" s="128">
        <v>2024</v>
      </c>
      <c r="B5">
        <v>1682</v>
      </c>
      <c r="C5">
        <v>2900</v>
      </c>
      <c r="D5">
        <v>207</v>
      </c>
      <c r="G5" s="128">
        <v>2024</v>
      </c>
      <c r="H5" s="140">
        <v>7.1282758620689654E-2</v>
      </c>
      <c r="I5" s="140">
        <v>0.12413793103448276</v>
      </c>
      <c r="M5" s="128" t="s">
        <v>135</v>
      </c>
      <c r="N5" s="153">
        <v>967</v>
      </c>
      <c r="O5" s="153">
        <v>990</v>
      </c>
      <c r="P5" s="153">
        <v>950</v>
      </c>
      <c r="R5" s="128">
        <v>2024</v>
      </c>
      <c r="S5">
        <v>971</v>
      </c>
      <c r="W5" s="128">
        <v>2024</v>
      </c>
      <c r="X5">
        <v>476</v>
      </c>
      <c r="Y5">
        <v>476</v>
      </c>
    </row>
    <row r="6" spans="1:25" x14ac:dyDescent="0.25">
      <c r="A6" s="128">
        <v>2025</v>
      </c>
      <c r="B6">
        <v>1917</v>
      </c>
      <c r="C6">
        <v>3404</v>
      </c>
      <c r="D6">
        <v>330</v>
      </c>
      <c r="G6" s="128">
        <v>2025</v>
      </c>
      <c r="H6" s="140">
        <v>9.7005875440658029E-2</v>
      </c>
      <c r="I6" s="140">
        <v>0.15940070505287893</v>
      </c>
      <c r="M6" s="128" t="s">
        <v>142</v>
      </c>
      <c r="N6" s="153">
        <v>743</v>
      </c>
      <c r="O6" s="153">
        <v>971</v>
      </c>
      <c r="P6" s="153">
        <v>1285</v>
      </c>
      <c r="R6" s="128">
        <v>2025</v>
      </c>
      <c r="S6">
        <v>1285</v>
      </c>
      <c r="W6" s="128">
        <v>2025</v>
      </c>
      <c r="X6">
        <v>662</v>
      </c>
      <c r="Y6">
        <v>662</v>
      </c>
    </row>
    <row r="7" spans="1:25" x14ac:dyDescent="0.25">
      <c r="M7" s="128" t="s">
        <v>138</v>
      </c>
      <c r="N7" s="153">
        <v>576</v>
      </c>
      <c r="O7" s="153">
        <v>548</v>
      </c>
      <c r="P7" s="153">
        <v>640</v>
      </c>
      <c r="W7" s="128" t="s">
        <v>233</v>
      </c>
      <c r="X7">
        <v>1481</v>
      </c>
      <c r="Y7">
        <v>1481</v>
      </c>
    </row>
    <row r="8" spans="1:25" x14ac:dyDescent="0.25">
      <c r="A8" s="127" t="s">
        <v>227</v>
      </c>
      <c r="B8" s="127" t="s">
        <v>226</v>
      </c>
      <c r="G8" s="127" t="s">
        <v>232</v>
      </c>
      <c r="H8" s="127" t="s">
        <v>226</v>
      </c>
      <c r="M8" s="128" t="s">
        <v>140</v>
      </c>
      <c r="N8" s="153">
        <v>534</v>
      </c>
      <c r="O8" s="153">
        <v>554</v>
      </c>
      <c r="P8" s="153">
        <v>540</v>
      </c>
    </row>
    <row r="9" spans="1:25" x14ac:dyDescent="0.25">
      <c r="A9" s="127" t="s">
        <v>225</v>
      </c>
      <c r="B9" t="s">
        <v>224</v>
      </c>
      <c r="G9" s="127" t="s">
        <v>225</v>
      </c>
      <c r="H9" t="s">
        <v>187</v>
      </c>
      <c r="I9" t="s">
        <v>184</v>
      </c>
    </row>
    <row r="10" spans="1:25" x14ac:dyDescent="0.25">
      <c r="A10" s="128">
        <v>2023</v>
      </c>
      <c r="B10">
        <v>129</v>
      </c>
      <c r="G10" s="128">
        <v>2023</v>
      </c>
      <c r="H10" s="131">
        <v>1.1755208333333333</v>
      </c>
      <c r="I10" s="131">
        <v>1.5366319444444445</v>
      </c>
    </row>
    <row r="11" spans="1:25" x14ac:dyDescent="0.25">
      <c r="A11" s="128">
        <v>2024</v>
      </c>
      <c r="B11">
        <v>207</v>
      </c>
      <c r="G11" s="128">
        <v>2024</v>
      </c>
      <c r="H11" s="131">
        <v>1.3221715328467152</v>
      </c>
      <c r="I11" s="131">
        <v>1.975456204379562</v>
      </c>
    </row>
    <row r="12" spans="1:25" x14ac:dyDescent="0.25">
      <c r="A12" s="128">
        <v>2025</v>
      </c>
      <c r="B12">
        <v>330</v>
      </c>
      <c r="G12" s="128">
        <v>2025</v>
      </c>
      <c r="H12" s="131">
        <v>1.653046875</v>
      </c>
      <c r="I12" s="131">
        <v>2.3671093750000001</v>
      </c>
    </row>
    <row r="14" spans="1:25" x14ac:dyDescent="0.25">
      <c r="G14" s="127" t="s">
        <v>232</v>
      </c>
      <c r="H14" s="127" t="s">
        <v>226</v>
      </c>
    </row>
    <row r="15" spans="1:25" x14ac:dyDescent="0.25">
      <c r="G15" s="127" t="s">
        <v>225</v>
      </c>
      <c r="H15" t="s">
        <v>193</v>
      </c>
      <c r="I15" t="s">
        <v>190</v>
      </c>
    </row>
    <row r="16" spans="1:25" x14ac:dyDescent="0.25">
      <c r="G16" s="128">
        <v>2023</v>
      </c>
      <c r="H16" s="131">
        <v>1.3943089430894309</v>
      </c>
      <c r="I16" s="131">
        <v>1.4944107744107742</v>
      </c>
    </row>
    <row r="17" spans="7:9" x14ac:dyDescent="0.25">
      <c r="G17" s="128">
        <v>2024</v>
      </c>
      <c r="H17" s="131">
        <v>2.1834862385321099</v>
      </c>
      <c r="I17" s="131">
        <v>1.1352910870685213</v>
      </c>
    </row>
    <row r="18" spans="7:9" x14ac:dyDescent="0.25">
      <c r="G18" s="128">
        <v>2025</v>
      </c>
      <c r="H18" s="131">
        <v>2.6150197628458494</v>
      </c>
      <c r="I18" s="131">
        <v>0.91850237409511959</v>
      </c>
    </row>
    <row r="21" spans="7:9" x14ac:dyDescent="0.25">
      <c r="G21" s="127" t="s">
        <v>232</v>
      </c>
      <c r="H21" s="127" t="s">
        <v>226</v>
      </c>
    </row>
    <row r="22" spans="7:9" x14ac:dyDescent="0.25">
      <c r="G22" s="127" t="s">
        <v>225</v>
      </c>
      <c r="H22" t="s">
        <v>195</v>
      </c>
      <c r="I22" t="s">
        <v>198</v>
      </c>
    </row>
    <row r="23" spans="7:9" x14ac:dyDescent="0.25">
      <c r="G23" s="128">
        <v>2024</v>
      </c>
      <c r="H23" s="131">
        <v>64.189655172413794</v>
      </c>
      <c r="I23" s="131">
        <v>7.1574468085106382</v>
      </c>
    </row>
    <row r="24" spans="7:9" x14ac:dyDescent="0.25">
      <c r="G24" s="128">
        <v>2025</v>
      </c>
      <c r="H24" s="131">
        <v>71.734723854289072</v>
      </c>
      <c r="I24" s="131">
        <v>5.8990769230769233</v>
      </c>
    </row>
    <row r="27" spans="7:9" x14ac:dyDescent="0.25">
      <c r="G27" s="127" t="s">
        <v>232</v>
      </c>
      <c r="H27" s="127" t="s">
        <v>226</v>
      </c>
    </row>
    <row r="28" spans="7:9" x14ac:dyDescent="0.25">
      <c r="G28" s="127" t="s">
        <v>225</v>
      </c>
      <c r="H28" t="s">
        <v>177</v>
      </c>
      <c r="I28" t="s">
        <v>180</v>
      </c>
    </row>
    <row r="29" spans="7:9" x14ac:dyDescent="0.25">
      <c r="G29" s="128">
        <v>2023</v>
      </c>
      <c r="H29" s="140">
        <v>6.9758652340586355E-2</v>
      </c>
      <c r="I29" s="140">
        <v>0.174006734006734</v>
      </c>
    </row>
    <row r="30" spans="7:9" x14ac:dyDescent="0.25">
      <c r="G30" s="128">
        <v>2024</v>
      </c>
      <c r="H30" s="140">
        <v>9.9753896636587361E-2</v>
      </c>
      <c r="I30" s="140">
        <v>0.21300360638845955</v>
      </c>
    </row>
    <row r="31" spans="7:9" x14ac:dyDescent="0.25">
      <c r="G31" s="128">
        <v>2025</v>
      </c>
      <c r="H31" s="140">
        <v>0.13397492595447719</v>
      </c>
      <c r="I31" s="140">
        <v>0.25703121351288233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030F-3B82-4D0B-A89D-4FC00CD5CE4A}">
  <dimension ref="A1:AA41"/>
  <sheetViews>
    <sheetView tabSelected="1" zoomScaleNormal="100" workbookViewId="0">
      <selection activeCell="A7" sqref="A7"/>
    </sheetView>
  </sheetViews>
  <sheetFormatPr baseColWidth="10" defaultRowHeight="15" x14ac:dyDescent="0.25"/>
  <cols>
    <col min="1" max="1" width="8.140625" customWidth="1"/>
    <col min="11" max="11" width="6.42578125" customWidth="1"/>
  </cols>
  <sheetData>
    <row r="1" spans="1:27" x14ac:dyDescent="0.25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spans="1:27" x14ac:dyDescent="0.2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 spans="1:27" x14ac:dyDescent="0.2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 spans="1:27" x14ac:dyDescent="0.2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 spans="1:27" x14ac:dyDescent="0.25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 spans="1:27" x14ac:dyDescent="0.2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 spans="1:27" x14ac:dyDescent="0.25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 spans="1:27" x14ac:dyDescent="0.25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spans="1:27" x14ac:dyDescent="0.25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 spans="1:27" x14ac:dyDescent="0.25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 spans="1:27" x14ac:dyDescent="0.25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spans="1:27" x14ac:dyDescent="0.25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</row>
    <row r="13" spans="1:27" x14ac:dyDescent="0.25">
      <c r="A13" s="141"/>
      <c r="B13" s="141"/>
      <c r="C13" s="141"/>
      <c r="D13" s="141"/>
      <c r="E13" s="141"/>
      <c r="F13" s="141"/>
      <c r="G13" s="141"/>
      <c r="H13" s="141"/>
      <c r="I13" s="142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</row>
    <row r="14" spans="1:27" x14ac:dyDescent="0.25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</row>
    <row r="15" spans="1:27" x14ac:dyDescent="0.25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</row>
    <row r="16" spans="1:27" x14ac:dyDescent="0.25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 spans="1:27" x14ac:dyDescent="0.25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 spans="1:27" x14ac:dyDescent="0.25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 spans="1:27" x14ac:dyDescent="0.25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 spans="1:27" x14ac:dyDescent="0.25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spans="1:27" x14ac:dyDescent="0.25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</row>
    <row r="22" spans="1:27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spans="1:27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spans="1:27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spans="1:27" x14ac:dyDescent="0.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spans="1:27" x14ac:dyDescent="0.25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spans="1:27" x14ac:dyDescent="0.25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spans="1:27" x14ac:dyDescent="0.25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spans="1:27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spans="1:27" x14ac:dyDescent="0.25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spans="1:27" x14ac:dyDescent="0.25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spans="1:27" x14ac:dyDescent="0.25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spans="1:27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spans="1:27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spans="1:27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spans="1:27" x14ac:dyDescent="0.25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spans="1:27" x14ac:dyDescent="0.25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spans="1:27" x14ac:dyDescent="0.25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spans="1:27" x14ac:dyDescent="0.25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spans="1:27" x14ac:dyDescent="0.25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spans="1:27" x14ac:dyDescent="0.25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9515-956A-4AE7-9417-5D148E52D4C3}">
  <dimension ref="A1:Y42"/>
  <sheetViews>
    <sheetView topLeftCell="A10" zoomScaleNormal="100" workbookViewId="0">
      <selection activeCell="W11" sqref="W11"/>
    </sheetView>
  </sheetViews>
  <sheetFormatPr baseColWidth="10" defaultRowHeight="15" x14ac:dyDescent="0.25"/>
  <cols>
    <col min="6" max="6" width="15.42578125" customWidth="1"/>
    <col min="12" max="12" width="7.5703125" customWidth="1"/>
  </cols>
  <sheetData>
    <row r="1" spans="1:25" x14ac:dyDescent="0.25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x14ac:dyDescent="0.2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5" x14ac:dyDescent="0.2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</row>
    <row r="4" spans="1:25" x14ac:dyDescent="0.2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</row>
    <row r="5" spans="1:25" x14ac:dyDescent="0.25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</row>
    <row r="6" spans="1:25" x14ac:dyDescent="0.2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</row>
    <row r="7" spans="1:25" x14ac:dyDescent="0.25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</row>
    <row r="8" spans="1:25" x14ac:dyDescent="0.25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</row>
    <row r="9" spans="1:25" x14ac:dyDescent="0.25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</row>
    <row r="10" spans="1:25" x14ac:dyDescent="0.25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</row>
    <row r="11" spans="1:25" x14ac:dyDescent="0.25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</row>
    <row r="12" spans="1:25" x14ac:dyDescent="0.25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</row>
    <row r="13" spans="1:25" x14ac:dyDescent="0.25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</row>
    <row r="14" spans="1:25" x14ac:dyDescent="0.25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</row>
    <row r="15" spans="1:25" x14ac:dyDescent="0.25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</row>
    <row r="16" spans="1:25" x14ac:dyDescent="0.25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</row>
    <row r="17" spans="1:25" x14ac:dyDescent="0.25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</row>
    <row r="18" spans="1:25" x14ac:dyDescent="0.25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</row>
    <row r="19" spans="1:25" x14ac:dyDescent="0.25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</row>
    <row r="20" spans="1:25" x14ac:dyDescent="0.25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</row>
    <row r="21" spans="1:25" x14ac:dyDescent="0.25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</row>
    <row r="22" spans="1:25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</row>
    <row r="23" spans="1:25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</row>
    <row r="24" spans="1:25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</row>
    <row r="25" spans="1:25" x14ac:dyDescent="0.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</row>
    <row r="26" spans="1:25" x14ac:dyDescent="0.25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</row>
    <row r="27" spans="1:25" x14ac:dyDescent="0.25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</row>
    <row r="28" spans="1:25" x14ac:dyDescent="0.25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</row>
    <row r="29" spans="1:25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</row>
    <row r="30" spans="1:25" x14ac:dyDescent="0.25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</row>
    <row r="31" spans="1:25" x14ac:dyDescent="0.25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</row>
    <row r="32" spans="1:25" x14ac:dyDescent="0.25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</row>
    <row r="33" spans="1:25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</row>
    <row r="34" spans="1:25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</row>
    <row r="35" spans="1:25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</row>
    <row r="36" spans="1:25" x14ac:dyDescent="0.25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</row>
    <row r="37" spans="1:25" x14ac:dyDescent="0.25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</row>
    <row r="38" spans="1:25" x14ac:dyDescent="0.25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</row>
    <row r="39" spans="1:25" x14ac:dyDescent="0.25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</row>
    <row r="40" spans="1:25" x14ac:dyDescent="0.25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</row>
    <row r="41" spans="1:25" x14ac:dyDescent="0.25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</row>
    <row r="42" spans="1:25" x14ac:dyDescent="0.25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Notas</vt:lpstr>
      <vt:lpstr>EEFF</vt:lpstr>
      <vt:lpstr>Ratios</vt:lpstr>
      <vt:lpstr>Hoja auxiliar tablas</vt:lpstr>
      <vt:lpstr>Hoja auxiliar TD</vt:lpstr>
      <vt:lpstr>dashboard estados</vt:lpstr>
      <vt:lpstr>dashboard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Adhara Financial Group</dc:creator>
  <cp:lastModifiedBy>matias costa</cp:lastModifiedBy>
  <dcterms:created xsi:type="dcterms:W3CDTF">2017-11-13T20:42:23Z</dcterms:created>
  <dcterms:modified xsi:type="dcterms:W3CDTF">2026-01-06T18:07:42Z</dcterms:modified>
</cp:coreProperties>
</file>